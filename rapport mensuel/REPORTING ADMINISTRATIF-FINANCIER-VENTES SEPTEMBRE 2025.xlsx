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ichStyles.xml" ContentType="application/vnd.ms-excel.richstyles+xml"/>
  <Override PartName="/xl/richData/rdrichvalue.xml" ContentType="application/vnd.ms-excel.rdrichvalue+xml"/>
  <Override PartName="/xl/richData/rdarray.xml" ContentType="application/vnd.ms-excel.rdarray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CC\Desktop\2025\SEPTEMBRE 2025\"/>
    </mc:Choice>
  </mc:AlternateContent>
  <bookViews>
    <workbookView xWindow="-105" yWindow="-105" windowWidth="23250" windowHeight="12450" activeTab="6"/>
  </bookViews>
  <sheets>
    <sheet name="VENTES" sheetId="1" r:id="rId1"/>
    <sheet name="Feuil2" sheetId="9" r:id="rId2"/>
    <sheet name="Feuil1" sheetId="8" r:id="rId3"/>
    <sheet name="STOCKS" sheetId="2" r:id="rId4"/>
    <sheet name="DÉPENSES" sheetId="3" r:id="rId5"/>
    <sheet name="VERSEMENT" sheetId="4" r:id="rId6"/>
    <sheet name="SYNTHÈSE" sheetId="5" r:id="rId7"/>
    <sheet name="Analyse1" sheetId="6" r:id="rId8"/>
  </sheets>
  <calcPr calcId="152511"/>
</workbook>
</file>

<file path=xl/calcChain.xml><?xml version="1.0" encoding="utf-8"?>
<calcChain xmlns="http://schemas.openxmlformats.org/spreadsheetml/2006/main">
  <c r="B9" i="5" l="1"/>
  <c r="G240" i="1" l="1"/>
  <c r="G198" i="1" l="1"/>
  <c r="G199" i="1"/>
  <c r="G196" i="1"/>
  <c r="G195" i="1"/>
  <c r="G184" i="1" l="1"/>
  <c r="G182" i="1"/>
  <c r="G183" i="1"/>
  <c r="B6" i="5" l="1"/>
  <c r="G125" i="1" l="1"/>
  <c r="G128" i="1"/>
  <c r="G132" i="1"/>
  <c r="G107" i="1" l="1"/>
  <c r="G108" i="1"/>
  <c r="G102" i="1"/>
  <c r="G105" i="1"/>
  <c r="G84" i="1" l="1"/>
  <c r="G66" i="1" l="1"/>
  <c r="G64" i="1"/>
  <c r="G53" i="1"/>
  <c r="G51" i="1"/>
  <c r="G48" i="1"/>
  <c r="G49" i="1"/>
  <c r="G33" i="1"/>
  <c r="G34" i="1"/>
  <c r="G35" i="1"/>
  <c r="G29" i="1"/>
  <c r="G26" i="1"/>
  <c r="G97" i="1" l="1"/>
  <c r="G98" i="1"/>
  <c r="G99" i="1"/>
  <c r="G100" i="1"/>
  <c r="G101" i="1"/>
  <c r="G103" i="1"/>
  <c r="G104" i="1"/>
  <c r="G106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6" i="1"/>
  <c r="G127" i="1"/>
  <c r="G129" i="1"/>
  <c r="G130" i="1"/>
  <c r="G131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5" i="1"/>
  <c r="G186" i="1"/>
  <c r="G187" i="1"/>
  <c r="G188" i="1"/>
  <c r="G189" i="1"/>
  <c r="G190" i="1"/>
  <c r="G191" i="1"/>
  <c r="G192" i="1"/>
  <c r="G193" i="1"/>
  <c r="G194" i="1"/>
  <c r="G197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3" i="1"/>
  <c r="G24" i="1"/>
  <c r="G25" i="1"/>
  <c r="G27" i="1"/>
  <c r="G28" i="1"/>
  <c r="G30" i="1"/>
  <c r="G31" i="1"/>
  <c r="G32" i="1"/>
  <c r="G36" i="1"/>
  <c r="G37" i="1"/>
  <c r="G38" i="1"/>
  <c r="G39" i="1"/>
  <c r="G40" i="1"/>
  <c r="G41" i="1"/>
  <c r="G42" i="1"/>
  <c r="G43" i="1"/>
  <c r="G44" i="1"/>
  <c r="G45" i="1"/>
  <c r="G46" i="1"/>
  <c r="G47" i="1"/>
  <c r="G50" i="1"/>
  <c r="G52" i="1"/>
  <c r="G54" i="1"/>
  <c r="G55" i="1"/>
  <c r="G56" i="1"/>
  <c r="G57" i="1"/>
  <c r="G58" i="1"/>
  <c r="G59" i="1"/>
  <c r="G60" i="1"/>
  <c r="G61" i="1"/>
  <c r="G62" i="1"/>
  <c r="G63" i="1"/>
  <c r="G65" i="1"/>
  <c r="G67" i="1"/>
  <c r="G68" i="1"/>
  <c r="G69" i="1"/>
  <c r="G70" i="1"/>
  <c r="G71" i="1"/>
  <c r="G72" i="1"/>
  <c r="G73" i="1"/>
  <c r="G74" i="1"/>
  <c r="G75" i="1"/>
  <c r="G76" i="1"/>
  <c r="G77" i="1"/>
  <c r="G1004" i="2" l="1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M4" i="2"/>
  <c r="M5" i="2"/>
  <c r="M6" i="2"/>
  <c r="M7" i="2"/>
  <c r="M9" i="2"/>
  <c r="M10" i="2"/>
  <c r="M11" i="2"/>
  <c r="M12" i="2"/>
  <c r="M13" i="2"/>
  <c r="M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78" i="1"/>
  <c r="G79" i="1"/>
  <c r="G80" i="1"/>
  <c r="G81" i="1"/>
  <c r="G82" i="1"/>
  <c r="G83" i="1"/>
  <c r="G85" i="1"/>
  <c r="G86" i="1"/>
  <c r="G87" i="1"/>
  <c r="G88" i="1"/>
  <c r="G89" i="1"/>
  <c r="G90" i="1"/>
  <c r="G91" i="1"/>
  <c r="G92" i="1"/>
  <c r="G93" i="1"/>
  <c r="G94" i="1"/>
  <c r="G95" i="1"/>
  <c r="G96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2" i="2"/>
  <c r="B4" i="5"/>
  <c r="A32" i="6" a="1"/>
  <c r="A22" i="6" a="1"/>
  <c r="A25" i="6" a="1"/>
  <c r="A6" i="6" a="1"/>
  <c r="A25" i="6" l="1"/>
  <c r="A32" i="6"/>
  <c r="A22" i="6"/>
  <c r="A6" i="6"/>
  <c r="B3" i="5"/>
  <c r="B5" i="5" s="1"/>
  <c r="A18" i="6" a="1"/>
  <c r="A18" i="6" l="1"/>
  <c r="C28" i="6"/>
  <c r="B28" i="6"/>
  <c r="A28" i="6"/>
  <c r="C27" i="6"/>
  <c r="B27" i="6"/>
  <c r="A27" i="6"/>
  <c r="C26" i="6"/>
  <c r="B26" i="6"/>
  <c r="A26" i="6"/>
  <c r="C25" i="6"/>
  <c r="B25" i="6"/>
  <c r="A9" i="6" a="1"/>
  <c r="A9" i="6" l="1"/>
  <c r="E14" i="6"/>
  <c r="C14" i="6"/>
  <c r="A14" i="6"/>
  <c r="D13" i="6"/>
  <c r="B13" i="6"/>
  <c r="E12" i="6"/>
  <c r="C12" i="6"/>
  <c r="A12" i="6"/>
  <c r="D11" i="6"/>
  <c r="B11" i="6"/>
  <c r="E10" i="6"/>
  <c r="C10" i="6"/>
  <c r="A10" i="6"/>
  <c r="D9" i="6"/>
  <c r="B9" i="6"/>
  <c r="D14" i="6"/>
  <c r="B14" i="6"/>
  <c r="E13" i="6"/>
  <c r="C13" i="6"/>
  <c r="A13" i="6"/>
  <c r="D12" i="6"/>
  <c r="B12" i="6"/>
  <c r="E11" i="6"/>
  <c r="C11" i="6"/>
  <c r="A11" i="6"/>
  <c r="D10" i="6"/>
  <c r="B10" i="6"/>
  <c r="E9" i="6"/>
  <c r="C9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SYNTH_SE_A1_D6_df=xl(%P2%, headers=True)</code>
    </pythonScript>
    <pythonScript>
      <code>#Afficher les noms de colonnes exacts du tableau financier
# Afficher les noms exacts des colonnes pour corriger l'accès
SYNTH_SE_A1_D6_df.columns</code>
    </pythonScript>
    <pythonScript>
      <code>#Comparer le solde net aux versements bancaires et afficher le ratio
# Extraire les montants du solde net et des versements bancaires
solde_net = SYNTH_SE_A1_D6_df.loc[SYNTH_SE_A1_D6_df['Indicateurs de Suivi Financier'] == 'Solde Net (Ventes - Dépenses)', 'Montant total '].values[0]
versements_bancaires = SYNTH_SE_A1_D6_df.loc[SYNTH_SE_A1_D6_df['Indicateurs de Suivi Financier'] == 'Total Versements Bancaires', 'Montant total '].values[0]
# Calculer le ratio du solde net par rapport aux versements bancaires
ratio = solde_net / versements_bancaires
# Créer un DataFrame pour afficher les résultats
resultats = pd.DataFrame({
    'Indicateur': ['Solde Net', 'Total Versements Bancaires', 'Ratio Solde Net / Versements Bancaires'],
    'Montant': [solde_net, versements_bancaires, ratio]
})
resultats</code>
    </pythonScript>
    <pythonScript>
      <code>#Graphique à barres comparant le solde net et les versements bancaires
# Visualiser la comparaison entre le solde net et les versements bancaires
plt.rcParams['font.family'] = ['Meiryo','Batang','TH SarabunPSK','SimHei','DejaVu Sans']
fig, ax = plt.subplots(figsize=(6,4))
ax.bar(['Solde Net', 'Versements Bancaires'], [solde_net, versements_bancaires], color=['#4E79A7', '#F28E2B'])
ax.set_title('Comparaison du Solde Net et des Versements Bancaires', fontsize=14)
ax.set_ylabel('Montant (en $)', fontsize=12)
ax.set_xlabel('Indicateur', fontsize=12)
for i, v in enumerate([solde_net, versements_bancaires]):
    ax.text(i, v + max([solde_net, versements_bancaires])*0.01, f'{v:,.0f}', ha='center', va='bottom', fontsize=11)
plt.tight_layout()
plt.show()</code>
    </pythonScript>
  </pythonScripts>
</python>
</file>

<file path=xl/sharedStrings.xml><?xml version="1.0" encoding="utf-8"?>
<sst xmlns="http://schemas.openxmlformats.org/spreadsheetml/2006/main" count="770" uniqueCount="166">
  <si>
    <t>Date</t>
  </si>
  <si>
    <t>Référence facture</t>
  </si>
  <si>
    <t>Client</t>
  </si>
  <si>
    <t>Produit</t>
  </si>
  <si>
    <t>Quantité</t>
  </si>
  <si>
    <t>Prix unitaire</t>
  </si>
  <si>
    <t>Montant total</t>
  </si>
  <si>
    <t>Mode de paiement</t>
  </si>
  <si>
    <t>Statut (payé/impayé)</t>
  </si>
  <si>
    <t>Référence produit</t>
  </si>
  <si>
    <t>Stock initial</t>
  </si>
  <si>
    <t>Entrées</t>
  </si>
  <si>
    <t>Sorties</t>
  </si>
  <si>
    <t>Stock final</t>
  </si>
  <si>
    <t>Observation</t>
  </si>
  <si>
    <t>N° Pièce</t>
  </si>
  <si>
    <t>Nature de la dépense</t>
  </si>
  <si>
    <t>Fournisseur</t>
  </si>
  <si>
    <t>Montant</t>
  </si>
  <si>
    <t>Moyen de paiement</t>
  </si>
  <si>
    <t>Bénéficiaire</t>
  </si>
  <si>
    <t>Validé par</t>
  </si>
  <si>
    <t>Banque</t>
  </si>
  <si>
    <t>N° Reçu / Bordereau</t>
  </si>
  <si>
    <t>Montant versé</t>
  </si>
  <si>
    <t>Origine (Ventes / Autre)</t>
  </si>
  <si>
    <t>Déposant</t>
  </si>
  <si>
    <t>Observations</t>
  </si>
  <si>
    <t>Indicateurs de Suivi Financier</t>
  </si>
  <si>
    <t>Total Ventes</t>
  </si>
  <si>
    <t>Total Dépenses</t>
  </si>
  <si>
    <t>Solde Net (Ventes - Dépenses)</t>
  </si>
  <si>
    <t>Total Versements Bancaires</t>
  </si>
  <si>
    <t xml:space="preserve">Montant total </t>
  </si>
  <si>
    <t>Commentaires</t>
  </si>
  <si>
    <t>Recommandations</t>
  </si>
  <si>
    <t>Bidon huile 20L</t>
  </si>
  <si>
    <t>Carton huile 1L</t>
  </si>
  <si>
    <t>Details</t>
  </si>
  <si>
    <t>huile 1L</t>
  </si>
  <si>
    <t>Formats</t>
  </si>
  <si>
    <t>Stock In</t>
  </si>
  <si>
    <t>Entrée</t>
  </si>
  <si>
    <t>Sortie</t>
  </si>
  <si>
    <t>Stocks Fin</t>
  </si>
  <si>
    <t>Feuille d’analyse</t>
  </si>
  <si>
    <t>Cette feuille inclut toutes les formules Python générées par Copilot.</t>
  </si>
  <si>
    <t>Chargez les données depuis SYNTHÈSE, A1:D6</t>
  </si>
  <si>
    <t>Préversion</t>
  </si>
  <si>
    <t>Comparer le solde net aux versements bancaires et afficher le ratio</t>
  </si>
  <si>
    <t>Afficher les noms de colonnes exacts du tableau financier</t>
  </si>
  <si>
    <t>Graphique à barres comparant le solde net et les versements bancaires</t>
  </si>
  <si>
    <t>Carton huile 5L</t>
  </si>
  <si>
    <t xml:space="preserve">Carton savon 350/60 </t>
  </si>
  <si>
    <t>Carton savon 180/80</t>
  </si>
  <si>
    <t>Bidon 5L</t>
  </si>
  <si>
    <t>savon 350/60</t>
  </si>
  <si>
    <t>savon 180/80</t>
  </si>
  <si>
    <t>Les Etats de Stocks du Mois de De SEPTEMBRE 2025</t>
  </si>
  <si>
    <t xml:space="preserve">VINCENT </t>
  </si>
  <si>
    <t>SIDDI</t>
  </si>
  <si>
    <t>BOSTA</t>
  </si>
  <si>
    <t>BONNE NOUVELLE</t>
  </si>
  <si>
    <t>MY AFRICA</t>
  </si>
  <si>
    <t>SAIDOU OBALA</t>
  </si>
  <si>
    <t>MA'A DELPHINE OBALA</t>
  </si>
  <si>
    <t>GALLUS</t>
  </si>
  <si>
    <t>QUARTIER GENERAL</t>
  </si>
  <si>
    <t>BOULEVARD</t>
  </si>
  <si>
    <t>CLIENT DIVERS</t>
  </si>
  <si>
    <t>CLT EDITH</t>
  </si>
  <si>
    <t>CLT DORIMENE</t>
  </si>
  <si>
    <t>CLT MERLINE</t>
  </si>
  <si>
    <t>CLT MICHELLE</t>
  </si>
  <si>
    <t>AVARIE</t>
  </si>
  <si>
    <t>ESEKA</t>
  </si>
  <si>
    <t>SANGHO</t>
  </si>
  <si>
    <t>AHIDJO</t>
  </si>
  <si>
    <t>GABIN MFOUNDI</t>
  </si>
  <si>
    <t>CHRISTIAN ELIG EDZOA</t>
  </si>
  <si>
    <t>ACTION GOUVERNEMENTALE NTUI</t>
  </si>
  <si>
    <t>WALLI OBALA</t>
  </si>
  <si>
    <t>MAMAN BOUTIQUE</t>
  </si>
  <si>
    <t>SA'A</t>
  </si>
  <si>
    <t>MARCHE YDE</t>
  </si>
  <si>
    <t>KAMDEM ekounou</t>
  </si>
  <si>
    <t>CLT MARCELLE</t>
  </si>
  <si>
    <t>DADA</t>
  </si>
  <si>
    <t>RETOUR A DOUALA</t>
  </si>
  <si>
    <t>MONT CAMEROUN</t>
  </si>
  <si>
    <t>TOUNGOU HOTEL</t>
  </si>
  <si>
    <t>BOPACE</t>
  </si>
  <si>
    <t>PALAIS DE CONGRES</t>
  </si>
  <si>
    <t>ACTION GOUVERNEMENTALE</t>
  </si>
  <si>
    <t>SUPER MARKET</t>
  </si>
  <si>
    <t>ACTION GOUVERNEMENTALE SA'A</t>
  </si>
  <si>
    <t>FRANçOIS MFOUNDI</t>
  </si>
  <si>
    <t>Cartons huile CEL'OR 05L conditionnée (03 bouteilles/ct)</t>
  </si>
  <si>
    <t>Bidon huile CEL'OR 20L conditionnée (01 bidon/1)</t>
  </si>
  <si>
    <t>Cartons savons CEL'OR 60*350g scéllés (60 morceaux/ct)</t>
  </si>
  <si>
    <t>Cartons savons CEL'OR 80*180g scéllés (80 morceaux/ct)</t>
  </si>
  <si>
    <t xml:space="preserve"> Bouteille d'huile 1 litre (Détail)</t>
  </si>
  <si>
    <t>Bidon d'huile 5 Litres (Détail)</t>
  </si>
  <si>
    <t>Morceau de savon 60*350g Cel'Or (Détail)</t>
  </si>
  <si>
    <t>Morceau de savon 80*180g Cel'Or (Détail)</t>
  </si>
  <si>
    <t>Cartons huile CEL'OR 01L conditionnée (15  bouteilles/ct)</t>
  </si>
  <si>
    <t>ESPECE</t>
  </si>
  <si>
    <t>BANQUE</t>
  </si>
  <si>
    <t>PAYE</t>
  </si>
  <si>
    <t>IMPAYE</t>
  </si>
  <si>
    <t>OBSERVATIONS</t>
  </si>
  <si>
    <t>ACTION GOUVERNEMENTALE BAFIA</t>
  </si>
  <si>
    <t>AFRILAND FIRST BANK</t>
  </si>
  <si>
    <t>CCA</t>
  </si>
  <si>
    <t>Mme FOTSING Helene</t>
  </si>
  <si>
    <t>OUSSEINI SA'A</t>
  </si>
  <si>
    <t>SAIDOU SA'A</t>
  </si>
  <si>
    <t>SALIF SA'A</t>
  </si>
  <si>
    <t>l'action gouvernemental de sa'a est liée à celle de ntui</t>
  </si>
  <si>
    <t>retour 96 bidons</t>
  </si>
  <si>
    <t>retour 47cartons et 9 bouteilles</t>
  </si>
  <si>
    <t>retour 45 cartons et 1 morceau</t>
  </si>
  <si>
    <t>ACTION GOUVERNEMENTALE SOA</t>
  </si>
  <si>
    <t xml:space="preserve">retour 1 bidon </t>
  </si>
  <si>
    <t>FRAIS DE CONSOMMATION CARBURANT</t>
  </si>
  <si>
    <t>Patrick YOYOM</t>
  </si>
  <si>
    <t>Mme FOTSING</t>
  </si>
  <si>
    <t>FRAIS DE PEAGE</t>
  </si>
  <si>
    <t>EASY CONNEXION</t>
  </si>
  <si>
    <t>FRAIS D'INSTALLATION DE CAMERA DE SURVEILLANCE</t>
  </si>
  <si>
    <t>NGUI DERRICK</t>
  </si>
  <si>
    <t>FRAIS DE LAVERIE</t>
  </si>
  <si>
    <t>LT722MY</t>
  </si>
  <si>
    <t>LT724MY</t>
  </si>
  <si>
    <t>LE PERSONNEL</t>
  </si>
  <si>
    <t>FRAIS DU TRAVAIL DU DIMANCHE</t>
  </si>
  <si>
    <t>FRAIS DE PAYEMENT DES MANUTENSIONNAIRES</t>
  </si>
  <si>
    <t>MANUTENSIONNAIRE</t>
  </si>
  <si>
    <t>LT828MT</t>
  </si>
  <si>
    <t>FRAIS DE CONNEXION INTERNET</t>
  </si>
  <si>
    <t>AGENCE</t>
  </si>
  <si>
    <t>FOKA</t>
  </si>
  <si>
    <t>ACTION GOUVERNEMENTALE ESEKA</t>
  </si>
  <si>
    <t>retour 38 cartons et 1 bidon (client edith)</t>
  </si>
  <si>
    <t>FRAIS DE CONSOMMATION D'EAU</t>
  </si>
  <si>
    <t>BAILLEUR</t>
  </si>
  <si>
    <t>FRAIS DE PAYEMENT DES COMMERCIAUX ET STAGIAIRES MANUTENSIONNAIRES</t>
  </si>
  <si>
    <t>PERSONNEL</t>
  </si>
  <si>
    <t>INSERTION PUBLICITAIRE</t>
  </si>
  <si>
    <t>MR MKOUMA</t>
  </si>
  <si>
    <t>ACTION GOUVERNEMENTALE LOBO</t>
  </si>
  <si>
    <t>CLIENT</t>
  </si>
  <si>
    <t>PACO SA'A</t>
  </si>
  <si>
    <t>DJALA SA'A</t>
  </si>
  <si>
    <t>ACTION GOUVERNEMENTALE MITA</t>
  </si>
  <si>
    <t>LT722MY/LT724MY</t>
  </si>
  <si>
    <t>Patrick YOYOM/NGUI DERRICK</t>
  </si>
  <si>
    <t>FRAIS DE DGI</t>
  </si>
  <si>
    <t>YAPOUG AUDRUY</t>
  </si>
  <si>
    <t>FRAIS DE VIDANGE</t>
  </si>
  <si>
    <t>FRAIS DE FOURNITURES</t>
  </si>
  <si>
    <t xml:space="preserve">ousseini </t>
  </si>
  <si>
    <t>paco</t>
  </si>
  <si>
    <t>FRAIS DE MISSION PERSONNEL MITA</t>
  </si>
  <si>
    <t>FRAIS D'IMPRESSION COULEUR DGI</t>
  </si>
  <si>
    <t>FRAIS D'IMPRESSION COULEUR LICENCE DE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</si>
</sst>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#,##0\ [$FCFA-2C0C]"/>
    <numFmt numFmtId="166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rgb="FF156082"/>
      <name val="Times New Roman"/>
      <family val="1"/>
    </font>
    <font>
      <sz val="11"/>
      <color theme="1"/>
      <name val="Times New Roman"/>
      <family val="1"/>
    </font>
    <font>
      <b/>
      <sz val="14"/>
      <color rgb="FF15608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3" fontId="13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1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,##0\ [$FCFA-2C0C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/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06/relationships/rdRichValue" Target="richData/rdrichvalue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32</xdr:row>
      <xdr:rowOff>152400</xdr:rowOff>
    </xdr:from>
    <xdr:to>
      <xdr:col>4</xdr:col>
      <xdr:colOff>357319</xdr:colOff>
      <xdr:row>48</xdr:row>
      <xdr:rowOff>152400</xdr:rowOff>
    </xdr:to>
    <xdr:pic>
      <xdr:nvPicPr>
        <xdr:cNvPr id="2" name="Image 1" title="Graphique à barres comparant le solde net et les versements bancaires">
          <a:extLst>
            <a:ext uri="{FF2B5EF4-FFF2-40B4-BE49-F238E27FC236}">
              <a16:creationId xmlns="" xmlns:a16="http://schemas.microsoft.com/office/drawing/2014/main" id="{9B7B9E0C-1F76-5408-A774-DDA37776BDA9}"/>
            </a:ext>
          </a:extLst>
        </xdr:cNvPr>
        <xdr:cNvPicPr>
          <a:picLocks noChangeAspect="1"/>
          <a:extLst>
            <a:ext uri="{53484399-7A02-498B-ADA4-41CD10E50FAC}">
              <aif:imageFormula xmlns="" xmlns:aif="http://schemas.microsoft.com/office/drawing/2022/imageformula" formula="Analyse1!A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838950"/>
          <a:ext cx="4319719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5">
    <v t="s"/>
    <v t="s">Indicateurs de Suivi Financier</v>
    <v t="s" xml:space="preserve">Montant total </v>
    <v t="s">Commentaires</v>
    <v t="s">Recommandations</v>
    <v>0</v>
    <v t="r">0</v>
    <v t="r">1</v>
    <v t="r">0</v>
    <v t="r">0</v>
    <v>1</v>
    <v t="s">Total Ventes</v>
    <v>15002000</v>
    <v t="r">0</v>
    <v t="r">0</v>
    <v>2</v>
    <v t="s">Total Dépenses</v>
    <v>507850</v>
    <v t="r">0</v>
    <v t="r">0</v>
    <v>3</v>
    <v t="s">Solde Net (Ventes - Dépenses)</v>
    <v>14494150</v>
    <v t="r">0</v>
    <v t="r">0</v>
    <v>4</v>
    <v t="s">Total Versements Bancaires</v>
    <v>81900000</v>
    <v t="r">0</v>
    <v t="r">0</v>
  </a>
  <a r="4" c="3">
    <v t="s"/>
    <v t="s">Indicateur</v>
    <v t="s">Montant</v>
    <v>0</v>
    <v t="s">Solde Net</v>
    <v>14494150</v>
    <v>1</v>
    <v t="s">Total Versements Bancaires</v>
    <v>81900000</v>
    <v>2</v>
    <v t="s">Ratio Solde Net / Versements Bancaires</v>
    <v>0.17697374847374847</v>
  </a>
  <a r="2">
    <v>592</v>
    <v>390</v>
  </a>
</arrayData>
</file>

<file path=xl/richData/rdrichvalue.xml><?xml version="1.0" encoding="utf-8"?>
<rvData xmlns="http://schemas.microsoft.com/office/spreadsheetml/2017/richdata" count="13">
  <rv s="0">
    <fb>0</fb>
    <v>2</v>
  </rv>
  <rv s="0">
    <fb>0</fb>
    <v>3</v>
  </rv>
  <rv s="1">
    <v>0</v>
  </rv>
  <rv s="2">
    <v>DataFrame</v>
    <v>1</v>
    <v>2</v>
  </rv>
  <rv s="3">
    <v>&lt;class 'pandas.core.frame.DataFrame'&gt;</v>
    <v>DataFrame</v>
    <v xml:space="preserve">  Indicateurs de Suivi Financier  Montant total  Commentaires Recommandations
0                           None             NaN         None            None
1                   Total Ventes      15002000.0         None            None
2                 ...</v>
    <v>3</v>
    <v>4</v>
  </rv>
  <rv s="4">
    <v>&lt;class 'pandas.core.indexes.base.Index'&gt;</v>
    <v>Index</v>
    <v>Index(['Indicateurs de Suivi Financier', 'Montant total ', 'Commentaires',
       'Recommandations'],
      dtype='object')</v>
    <v>4</v>
  </rv>
  <rv s="1">
    <v>1</v>
  </rv>
  <rv s="2">
    <v>DataFrame</v>
    <v>6</v>
    <v>6</v>
  </rv>
  <rv s="3">
    <v>&lt;class 'pandas.core.frame.DataFrame'&gt;</v>
    <v>DataFrame</v>
    <v xml:space="preserve">                               Indicateur       Montant
0                               Solde Net  1.449415e+07
1              Total Versements Bancaires  8.190000e+07
2  Ratio Solde Net / Versements Bancaires  1.769737e-01</v>
    <v>7</v>
    <v>4</v>
  </rv>
  <rv s="5">
    <v>0</v>
    <v>9</v>
  </rv>
  <rv s="1">
    <v>2</v>
  </rv>
  <rv s="6">
    <v>Image</v>
    <v>7</v>
    <v>9</v>
    <v>10</v>
  </rv>
  <rv s="3">
    <v>&lt;class 'PIL.PngImagePlugin.PngImageFile'&gt;</v>
    <v>PngImageFile</v>
    <v>&lt;PIL.PngImagePlugin.PngImageFile image mode=RGBA size=592x390 at 0x7FD59B339CA0&gt;</v>
    <v>11</v>
    <v>4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4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fourni par Anaconda</v>
    </spb>
    <spb s="0">
      <v>3</v>
      <v>2</v>
      <v>DataFrame</v>
      <v>arrayPreview</v>
      <v>1</v>
    </spb>
    <spb s="1">
      <v>5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4" name="Tableau4" displayName="Tableau4" ref="A1:J263" totalsRowShown="0" headerRowDxfId="39" dataDxfId="38">
  <autoFilter ref="A1:J263"/>
  <tableColumns count="10">
    <tableColumn id="1" name="Date" dataDxfId="37"/>
    <tableColumn id="2" name="Référence facture" dataDxfId="36"/>
    <tableColumn id="3" name="Client" dataDxfId="35"/>
    <tableColumn id="4" name="Produit" dataDxfId="34"/>
    <tableColumn id="5" name="Quantité" dataDxfId="33"/>
    <tableColumn id="6" name="Prix unitaire" dataDxfId="32"/>
    <tableColumn id="7" name="Montant total" dataDxfId="31">
      <calculatedColumnFormula>E2*F2</calculatedColumnFormula>
    </tableColumn>
    <tableColumn id="8" name="Mode de paiement" dataDxfId="30"/>
    <tableColumn id="9" name="Statut (payé/impayé)" dataDxfId="29"/>
    <tableColumn id="10" name="OBSERVATION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G1751" totalsRowShown="0" headerRowDxfId="27" dataDxfId="26">
  <autoFilter ref="A1:G1751"/>
  <tableColumns count="7">
    <tableColumn id="1" name="Date" dataDxfId="25"/>
    <tableColumn id="2" name="Référence produit" dataDxfId="24"/>
    <tableColumn id="3" name="Produit" dataDxfId="23"/>
    <tableColumn id="4" name="Stock initial" dataDxfId="22"/>
    <tableColumn id="5" name="Entrées" dataDxfId="21"/>
    <tableColumn id="6" name="Sorties" dataDxfId="20"/>
    <tableColumn id="7" name="Stock final" dataDxfId="19">
      <calculatedColumnFormula>D2+E2-F2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H59" totalsRowShown="0" headerRowDxfId="18" dataDxfId="17">
  <autoFilter ref="A1:H59"/>
  <tableColumns count="8">
    <tableColumn id="1" name="Date" dataDxfId="16"/>
    <tableColumn id="2" name="N° Pièce" dataDxfId="15"/>
    <tableColumn id="3" name="Nature de la dépense" dataDxfId="14"/>
    <tableColumn id="4" name="Fournisseur" dataDxfId="13"/>
    <tableColumn id="5" name="Montant" dataDxfId="12"/>
    <tableColumn id="6" name="Moyen de paiement" dataDxfId="11"/>
    <tableColumn id="7" name="Bénéficiaire" dataDxfId="10"/>
    <tableColumn id="8" name="Validé pa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G27" totalsRowShown="0" headerRowDxfId="8" dataDxfId="7">
  <autoFilter ref="A1:G27"/>
  <tableColumns count="7">
    <tableColumn id="1" name="Date" dataDxfId="6"/>
    <tableColumn id="2" name="Banque" dataDxfId="5"/>
    <tableColumn id="3" name="N° Reçu / Bordereau" dataDxfId="4"/>
    <tableColumn id="4" name="Montant versé" dataDxfId="3"/>
    <tableColumn id="5" name="Origine (Ventes / Autre)" dataDxfId="2"/>
    <tableColumn id="6" name="Déposant" dataDxfId="1"/>
    <tableColumn id="7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07385A-1FC5-4889-9917-E36390077C7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9rkZ9qtVg8eZXDypTFHE-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9A2B22D-83C5-4B4B-AC9D-9553F46E87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233"/>
  <sheetViews>
    <sheetView topLeftCell="A237" workbookViewId="0">
      <selection activeCell="G240" sqref="G240"/>
    </sheetView>
  </sheetViews>
  <sheetFormatPr baseColWidth="10" defaultColWidth="8.85546875" defaultRowHeight="15.75" x14ac:dyDescent="0.25"/>
  <cols>
    <col min="1" max="1" width="15.28515625" style="3" customWidth="1"/>
    <col min="2" max="2" width="17.85546875" style="3" customWidth="1"/>
    <col min="3" max="3" width="33.42578125" style="3" customWidth="1"/>
    <col min="4" max="4" width="41.42578125" style="3" customWidth="1"/>
    <col min="5" max="5" width="11.5703125" style="19" customWidth="1"/>
    <col min="6" max="6" width="14.85546875" style="19" customWidth="1"/>
    <col min="7" max="7" width="18.7109375" style="19" customWidth="1"/>
    <col min="8" max="8" width="21.85546875" style="3" customWidth="1"/>
    <col min="9" max="9" width="22.85546875" style="3" customWidth="1"/>
    <col min="10" max="10" width="26.85546875" style="3" customWidth="1"/>
    <col min="11" max="16384" width="8.85546875" style="3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8" t="s">
        <v>4</v>
      </c>
      <c r="F1" s="18" t="s">
        <v>5</v>
      </c>
      <c r="G1" s="18" t="s">
        <v>6</v>
      </c>
      <c r="H1" s="1" t="s">
        <v>7</v>
      </c>
      <c r="I1" s="1" t="s">
        <v>8</v>
      </c>
      <c r="J1" s="35" t="s">
        <v>110</v>
      </c>
    </row>
    <row r="2" spans="1:10" ht="31.5" x14ac:dyDescent="0.25">
      <c r="A2" s="32">
        <v>45901</v>
      </c>
      <c r="B2" s="3">
        <v>2791</v>
      </c>
      <c r="C2" s="3" t="s">
        <v>66</v>
      </c>
      <c r="D2" s="3" t="s">
        <v>98</v>
      </c>
      <c r="E2" s="19">
        <v>200</v>
      </c>
      <c r="F2" s="19">
        <v>25000</v>
      </c>
      <c r="G2" s="19">
        <f>E2*F2</f>
        <v>5000000</v>
      </c>
      <c r="J2" s="34"/>
    </row>
    <row r="3" spans="1:10" ht="31.5" x14ac:dyDescent="0.25">
      <c r="A3" s="4"/>
      <c r="B3" s="3">
        <v>2792</v>
      </c>
      <c r="C3" s="3" t="s">
        <v>71</v>
      </c>
      <c r="D3" s="3" t="s">
        <v>98</v>
      </c>
      <c r="E3" s="19">
        <v>100</v>
      </c>
      <c r="F3" s="19">
        <v>25400</v>
      </c>
      <c r="G3" s="19">
        <f t="shared" ref="G3:G96" si="0">E3*F3</f>
        <v>2540000</v>
      </c>
      <c r="J3" s="34"/>
    </row>
    <row r="4" spans="1:10" ht="31.5" x14ac:dyDescent="0.25">
      <c r="A4" s="4"/>
      <c r="B4" s="3">
        <v>2793</v>
      </c>
      <c r="C4" s="3" t="s">
        <v>68</v>
      </c>
      <c r="D4" s="3" t="s">
        <v>105</v>
      </c>
      <c r="E4" s="19">
        <v>100</v>
      </c>
      <c r="G4" s="19">
        <f t="shared" si="0"/>
        <v>0</v>
      </c>
      <c r="J4" s="34"/>
    </row>
    <row r="5" spans="1:10" ht="31.5" x14ac:dyDescent="0.25">
      <c r="A5" s="4"/>
      <c r="B5" s="3">
        <v>2793</v>
      </c>
      <c r="C5" s="3" t="s">
        <v>68</v>
      </c>
      <c r="D5" s="3" t="s">
        <v>99</v>
      </c>
      <c r="E5" s="19">
        <v>20</v>
      </c>
      <c r="G5" s="19">
        <f t="shared" si="0"/>
        <v>0</v>
      </c>
      <c r="J5" s="34"/>
    </row>
    <row r="6" spans="1:10" ht="31.5" x14ac:dyDescent="0.25">
      <c r="A6" s="4"/>
      <c r="B6" s="3">
        <v>2794</v>
      </c>
      <c r="C6" s="3" t="s">
        <v>66</v>
      </c>
      <c r="D6" s="3" t="s">
        <v>98</v>
      </c>
      <c r="E6" s="19">
        <v>100</v>
      </c>
      <c r="F6" s="19">
        <v>25000</v>
      </c>
      <c r="G6" s="19">
        <f t="shared" si="0"/>
        <v>2500000</v>
      </c>
      <c r="H6" s="3" t="s">
        <v>106</v>
      </c>
      <c r="J6" s="34"/>
    </row>
    <row r="7" spans="1:10" ht="31.5" x14ac:dyDescent="0.25">
      <c r="A7" s="4"/>
      <c r="B7" s="3">
        <v>2795</v>
      </c>
      <c r="C7" s="3" t="s">
        <v>69</v>
      </c>
      <c r="D7" s="3" t="s">
        <v>98</v>
      </c>
      <c r="E7" s="19">
        <v>1</v>
      </c>
      <c r="F7" s="19">
        <v>26000</v>
      </c>
      <c r="G7" s="19">
        <f t="shared" si="0"/>
        <v>26000</v>
      </c>
      <c r="J7" s="34"/>
    </row>
    <row r="8" spans="1:10" ht="31.5" x14ac:dyDescent="0.25">
      <c r="A8" s="4"/>
      <c r="B8" s="3">
        <v>2796</v>
      </c>
      <c r="C8" s="3" t="s">
        <v>69</v>
      </c>
      <c r="D8" s="3" t="s">
        <v>97</v>
      </c>
      <c r="E8" s="19">
        <v>1</v>
      </c>
      <c r="F8" s="19">
        <v>20000</v>
      </c>
      <c r="G8" s="19">
        <f t="shared" si="0"/>
        <v>20000</v>
      </c>
      <c r="J8" s="34"/>
    </row>
    <row r="9" spans="1:10" ht="31.5" x14ac:dyDescent="0.25">
      <c r="A9" s="4"/>
      <c r="B9" s="3">
        <v>2797</v>
      </c>
      <c r="C9" s="3" t="s">
        <v>80</v>
      </c>
      <c r="D9" s="3" t="s">
        <v>98</v>
      </c>
      <c r="E9" s="19">
        <v>10</v>
      </c>
      <c r="F9" s="19">
        <v>26000</v>
      </c>
      <c r="G9" s="19">
        <f t="shared" si="0"/>
        <v>260000</v>
      </c>
      <c r="J9" s="34"/>
    </row>
    <row r="10" spans="1:10" ht="31.5" x14ac:dyDescent="0.25">
      <c r="A10" s="4"/>
      <c r="B10" s="3">
        <v>2797</v>
      </c>
      <c r="C10" s="3" t="s">
        <v>80</v>
      </c>
      <c r="D10" s="3" t="s">
        <v>97</v>
      </c>
      <c r="E10" s="19">
        <v>10</v>
      </c>
      <c r="F10" s="19">
        <v>20500</v>
      </c>
      <c r="G10" s="19">
        <f t="shared" si="0"/>
        <v>205000</v>
      </c>
      <c r="J10" s="34"/>
    </row>
    <row r="11" spans="1:10" ht="31.5" x14ac:dyDescent="0.25">
      <c r="A11" s="4"/>
      <c r="B11" s="3">
        <v>2797</v>
      </c>
      <c r="C11" s="3" t="s">
        <v>80</v>
      </c>
      <c r="D11" s="3" t="s">
        <v>105</v>
      </c>
      <c r="E11" s="19">
        <v>1</v>
      </c>
      <c r="F11" s="19">
        <v>20500</v>
      </c>
      <c r="G11" s="19">
        <f t="shared" si="0"/>
        <v>20500</v>
      </c>
      <c r="J11" s="34"/>
    </row>
    <row r="12" spans="1:10" ht="31.5" x14ac:dyDescent="0.25">
      <c r="A12" s="4"/>
      <c r="B12" s="3">
        <v>2799</v>
      </c>
      <c r="C12" s="3" t="s">
        <v>82</v>
      </c>
      <c r="D12" s="3" t="s">
        <v>98</v>
      </c>
      <c r="E12" s="19">
        <v>100</v>
      </c>
      <c r="F12" s="19">
        <v>25000</v>
      </c>
      <c r="G12" s="19">
        <f t="shared" si="0"/>
        <v>2500000</v>
      </c>
      <c r="J12" s="34"/>
    </row>
    <row r="13" spans="1:10" ht="31.5" x14ac:dyDescent="0.25">
      <c r="A13" s="4"/>
      <c r="B13" s="3">
        <v>2800</v>
      </c>
      <c r="C13" s="3" t="s">
        <v>71</v>
      </c>
      <c r="D13" s="3" t="s">
        <v>98</v>
      </c>
      <c r="E13" s="19">
        <v>1</v>
      </c>
      <c r="F13" s="19">
        <v>26000</v>
      </c>
      <c r="G13" s="19">
        <f t="shared" si="0"/>
        <v>26000</v>
      </c>
      <c r="J13" s="34"/>
    </row>
    <row r="14" spans="1:10" ht="31.5" x14ac:dyDescent="0.25">
      <c r="A14" s="32">
        <v>45902</v>
      </c>
      <c r="B14" s="3">
        <v>2851</v>
      </c>
      <c r="C14" s="3" t="s">
        <v>72</v>
      </c>
      <c r="D14" s="3" t="s">
        <v>98</v>
      </c>
      <c r="E14" s="19">
        <v>19</v>
      </c>
      <c r="F14" s="19">
        <v>26000</v>
      </c>
      <c r="G14" s="19">
        <f t="shared" si="0"/>
        <v>494000</v>
      </c>
      <c r="J14" s="34"/>
    </row>
    <row r="15" spans="1:10" ht="31.5" x14ac:dyDescent="0.25">
      <c r="A15" s="4"/>
      <c r="B15" s="3">
        <v>2852</v>
      </c>
      <c r="C15" s="3" t="s">
        <v>72</v>
      </c>
      <c r="D15" s="3" t="s">
        <v>105</v>
      </c>
      <c r="E15" s="19">
        <v>3</v>
      </c>
      <c r="F15" s="19">
        <v>20000</v>
      </c>
      <c r="G15" s="19">
        <f t="shared" si="0"/>
        <v>60000</v>
      </c>
      <c r="J15" s="34"/>
    </row>
    <row r="16" spans="1:10" ht="31.5" x14ac:dyDescent="0.25">
      <c r="A16" s="4"/>
      <c r="B16" s="3">
        <v>2853</v>
      </c>
      <c r="C16" s="3" t="s">
        <v>76</v>
      </c>
      <c r="D16" s="3" t="s">
        <v>98</v>
      </c>
      <c r="E16" s="19">
        <v>100</v>
      </c>
      <c r="F16" s="19">
        <v>25000</v>
      </c>
      <c r="G16" s="19">
        <f t="shared" si="0"/>
        <v>2500000</v>
      </c>
      <c r="J16" s="34"/>
    </row>
    <row r="17" spans="1:10" ht="31.5" x14ac:dyDescent="0.25">
      <c r="A17" s="4"/>
      <c r="B17" s="3">
        <v>2854</v>
      </c>
      <c r="C17" s="3" t="s">
        <v>72</v>
      </c>
      <c r="D17" s="3" t="s">
        <v>97</v>
      </c>
      <c r="E17" s="19">
        <v>1</v>
      </c>
      <c r="F17" s="19">
        <v>20000</v>
      </c>
      <c r="G17" s="19">
        <f t="shared" si="0"/>
        <v>20000</v>
      </c>
      <c r="J17" s="34"/>
    </row>
    <row r="18" spans="1:10" ht="31.5" x14ac:dyDescent="0.25">
      <c r="A18" s="4"/>
      <c r="B18" s="3">
        <v>2854</v>
      </c>
      <c r="C18" s="3" t="s">
        <v>72</v>
      </c>
      <c r="D18" s="3" t="s">
        <v>105</v>
      </c>
      <c r="E18" s="19">
        <v>2</v>
      </c>
      <c r="F18" s="19">
        <v>20000</v>
      </c>
      <c r="G18" s="19">
        <f t="shared" si="0"/>
        <v>40000</v>
      </c>
      <c r="J18" s="34"/>
    </row>
    <row r="19" spans="1:10" ht="31.5" x14ac:dyDescent="0.25">
      <c r="A19" s="4"/>
      <c r="B19" s="3">
        <v>2855</v>
      </c>
      <c r="C19" s="3" t="s">
        <v>61</v>
      </c>
      <c r="D19" s="3" t="s">
        <v>98</v>
      </c>
      <c r="E19" s="19">
        <v>250</v>
      </c>
      <c r="F19" s="19">
        <v>25000</v>
      </c>
      <c r="G19" s="19">
        <f t="shared" si="0"/>
        <v>6250000</v>
      </c>
      <c r="J19" s="34"/>
    </row>
    <row r="20" spans="1:10" ht="31.5" x14ac:dyDescent="0.25">
      <c r="A20" s="4"/>
      <c r="B20" s="3">
        <v>2856</v>
      </c>
      <c r="C20" s="3" t="s">
        <v>63</v>
      </c>
      <c r="D20" s="3" t="s">
        <v>98</v>
      </c>
      <c r="E20" s="19">
        <v>200</v>
      </c>
      <c r="F20" s="19">
        <v>25000</v>
      </c>
      <c r="G20" s="19">
        <f>E20*F20</f>
        <v>5000000</v>
      </c>
      <c r="J20" s="34"/>
    </row>
    <row r="21" spans="1:10" ht="31.5" x14ac:dyDescent="0.25">
      <c r="A21" s="32">
        <v>45903</v>
      </c>
      <c r="B21" s="3">
        <v>2857</v>
      </c>
      <c r="C21" s="3" t="s">
        <v>72</v>
      </c>
      <c r="D21" s="3" t="s">
        <v>98</v>
      </c>
      <c r="E21" s="19">
        <v>50</v>
      </c>
      <c r="F21" s="19">
        <v>25500</v>
      </c>
      <c r="G21" s="19">
        <f t="shared" si="0"/>
        <v>1275000</v>
      </c>
      <c r="J21" s="34"/>
    </row>
    <row r="22" spans="1:10" ht="31.5" x14ac:dyDescent="0.25">
      <c r="A22" s="32"/>
      <c r="B22" s="3">
        <v>2858</v>
      </c>
      <c r="C22" s="3" t="s">
        <v>63</v>
      </c>
      <c r="D22" s="3" t="s">
        <v>98</v>
      </c>
      <c r="E22" s="19">
        <v>100</v>
      </c>
      <c r="F22" s="19">
        <v>25000</v>
      </c>
      <c r="G22" s="19">
        <f t="shared" si="0"/>
        <v>2500000</v>
      </c>
      <c r="J22" s="34"/>
    </row>
    <row r="23" spans="1:10" ht="31.5" x14ac:dyDescent="0.25">
      <c r="A23" s="4"/>
      <c r="B23" s="3">
        <v>2859</v>
      </c>
      <c r="C23" s="3" t="s">
        <v>72</v>
      </c>
      <c r="D23" s="3" t="s">
        <v>105</v>
      </c>
      <c r="E23" s="19">
        <v>2</v>
      </c>
      <c r="F23" s="19">
        <v>20000</v>
      </c>
      <c r="G23" s="19">
        <f t="shared" ref="G23:G77" si="1">E23*F23</f>
        <v>40000</v>
      </c>
      <c r="J23" s="34"/>
    </row>
    <row r="24" spans="1:10" ht="31.5" x14ac:dyDescent="0.25">
      <c r="A24" s="4"/>
      <c r="B24" s="3">
        <v>2860</v>
      </c>
      <c r="C24" s="3" t="s">
        <v>60</v>
      </c>
      <c r="D24" s="3" t="s">
        <v>98</v>
      </c>
      <c r="E24" s="19">
        <v>250</v>
      </c>
      <c r="F24" s="19">
        <v>25000</v>
      </c>
      <c r="G24" s="19">
        <f t="shared" si="1"/>
        <v>6250000</v>
      </c>
      <c r="J24" s="34"/>
    </row>
    <row r="25" spans="1:10" ht="31.5" x14ac:dyDescent="0.25">
      <c r="A25" s="32">
        <v>45904</v>
      </c>
      <c r="B25" s="3">
        <v>2861</v>
      </c>
      <c r="C25" s="3" t="s">
        <v>95</v>
      </c>
      <c r="D25" s="3" t="s">
        <v>97</v>
      </c>
      <c r="E25" s="19">
        <v>12</v>
      </c>
      <c r="F25" s="19">
        <v>21000</v>
      </c>
      <c r="G25" s="19">
        <f t="shared" si="1"/>
        <v>252000</v>
      </c>
      <c r="J25" s="34"/>
    </row>
    <row r="26" spans="1:10" ht="31.5" x14ac:dyDescent="0.25">
      <c r="A26" s="40"/>
      <c r="B26" s="39"/>
      <c r="C26" s="3" t="s">
        <v>95</v>
      </c>
      <c r="D26" s="3" t="s">
        <v>97</v>
      </c>
      <c r="E26" s="34">
        <v>10</v>
      </c>
      <c r="F26" s="34">
        <v>20500</v>
      </c>
      <c r="G26" s="34">
        <f>E26*F26</f>
        <v>205000</v>
      </c>
      <c r="H26" s="39"/>
      <c r="I26" s="39"/>
      <c r="J26" s="34"/>
    </row>
    <row r="27" spans="1:10" ht="31.5" x14ac:dyDescent="0.25">
      <c r="A27" s="4"/>
      <c r="B27" s="3">
        <v>2861</v>
      </c>
      <c r="C27" s="3" t="s">
        <v>95</v>
      </c>
      <c r="D27" s="3" t="s">
        <v>102</v>
      </c>
      <c r="E27" s="19">
        <v>1</v>
      </c>
      <c r="F27" s="19">
        <v>7000</v>
      </c>
      <c r="G27" s="19">
        <f t="shared" si="1"/>
        <v>7000</v>
      </c>
      <c r="J27" s="34"/>
    </row>
    <row r="28" spans="1:10" ht="31.5" x14ac:dyDescent="0.25">
      <c r="A28" s="4"/>
      <c r="B28" s="3">
        <v>2861</v>
      </c>
      <c r="C28" s="3" t="s">
        <v>95</v>
      </c>
      <c r="D28" s="3" t="s">
        <v>105</v>
      </c>
      <c r="E28" s="19">
        <v>14</v>
      </c>
      <c r="F28" s="19">
        <v>21000</v>
      </c>
      <c r="G28" s="19">
        <f t="shared" si="1"/>
        <v>294000</v>
      </c>
      <c r="J28" s="34"/>
    </row>
    <row r="29" spans="1:10" ht="31.5" x14ac:dyDescent="0.25">
      <c r="A29" s="36"/>
      <c r="B29" s="39"/>
      <c r="C29" s="3" t="s">
        <v>95</v>
      </c>
      <c r="D29" s="3" t="s">
        <v>105</v>
      </c>
      <c r="E29" s="34">
        <v>20</v>
      </c>
      <c r="F29" s="34">
        <v>20500</v>
      </c>
      <c r="G29" s="34">
        <f>E29*F29</f>
        <v>410000</v>
      </c>
      <c r="H29" s="39"/>
      <c r="I29" s="39"/>
      <c r="J29" s="34"/>
    </row>
    <row r="30" spans="1:10" ht="31.5" x14ac:dyDescent="0.25">
      <c r="A30" s="4"/>
      <c r="B30" s="3">
        <v>2861</v>
      </c>
      <c r="C30" s="3" t="s">
        <v>95</v>
      </c>
      <c r="D30" s="3" t="s">
        <v>101</v>
      </c>
      <c r="E30" s="19">
        <v>10</v>
      </c>
      <c r="F30" s="19">
        <v>1400</v>
      </c>
      <c r="G30" s="19">
        <f t="shared" si="1"/>
        <v>14000</v>
      </c>
      <c r="J30" s="34"/>
    </row>
    <row r="31" spans="1:10" ht="31.5" x14ac:dyDescent="0.25">
      <c r="A31" s="4"/>
      <c r="B31" s="3">
        <v>2861</v>
      </c>
      <c r="C31" s="3" t="s">
        <v>95</v>
      </c>
      <c r="D31" s="3" t="s">
        <v>99</v>
      </c>
      <c r="E31" s="19">
        <v>34</v>
      </c>
      <c r="F31" s="19">
        <v>18000</v>
      </c>
      <c r="G31" s="19">
        <f t="shared" si="1"/>
        <v>612000</v>
      </c>
      <c r="J31" s="34"/>
    </row>
    <row r="32" spans="1:10" ht="31.5" x14ac:dyDescent="0.25">
      <c r="A32" s="4"/>
      <c r="B32" s="3">
        <v>2861</v>
      </c>
      <c r="C32" s="3" t="s">
        <v>95</v>
      </c>
      <c r="D32" s="3" t="s">
        <v>103</v>
      </c>
      <c r="E32" s="19">
        <v>42</v>
      </c>
      <c r="F32" s="19">
        <v>300</v>
      </c>
      <c r="G32" s="19">
        <f t="shared" si="1"/>
        <v>12600</v>
      </c>
      <c r="J32" s="34" t="s">
        <v>118</v>
      </c>
    </row>
    <row r="33" spans="1:10" ht="31.5" x14ac:dyDescent="0.25">
      <c r="A33" s="36"/>
      <c r="B33" s="39"/>
      <c r="C33" s="39" t="s">
        <v>115</v>
      </c>
      <c r="D33" s="39" t="s">
        <v>97</v>
      </c>
      <c r="E33" s="34">
        <v>25</v>
      </c>
      <c r="F33" s="34">
        <v>20500</v>
      </c>
      <c r="G33" s="34">
        <f>E33*F33</f>
        <v>512500</v>
      </c>
      <c r="H33" s="39"/>
      <c r="I33" s="39"/>
      <c r="J33" s="34"/>
    </row>
    <row r="34" spans="1:10" ht="31.5" x14ac:dyDescent="0.25">
      <c r="A34" s="36"/>
      <c r="B34" s="39"/>
      <c r="C34" s="39" t="s">
        <v>115</v>
      </c>
      <c r="D34" s="39" t="s">
        <v>105</v>
      </c>
      <c r="E34" s="34">
        <v>25</v>
      </c>
      <c r="F34" s="34">
        <v>20500</v>
      </c>
      <c r="G34" s="34">
        <f>E34*F34</f>
        <v>512500</v>
      </c>
      <c r="H34" s="39"/>
      <c r="I34" s="39"/>
      <c r="J34" s="34"/>
    </row>
    <row r="35" spans="1:10" ht="31.5" x14ac:dyDescent="0.25">
      <c r="A35" s="36"/>
      <c r="B35" s="39"/>
      <c r="C35" s="39" t="s">
        <v>115</v>
      </c>
      <c r="D35" s="39" t="s">
        <v>99</v>
      </c>
      <c r="E35" s="34">
        <v>25</v>
      </c>
      <c r="F35" s="34">
        <v>17500</v>
      </c>
      <c r="G35" s="34">
        <f>E35*F35</f>
        <v>437500</v>
      </c>
      <c r="H35" s="39"/>
      <c r="I35" s="39"/>
      <c r="J35" s="34"/>
    </row>
    <row r="36" spans="1:10" ht="31.5" x14ac:dyDescent="0.25">
      <c r="A36" s="4"/>
      <c r="B36" s="3">
        <v>2862</v>
      </c>
      <c r="C36" s="3" t="s">
        <v>82</v>
      </c>
      <c r="D36" s="3" t="s">
        <v>98</v>
      </c>
      <c r="E36" s="19">
        <v>100</v>
      </c>
      <c r="F36" s="19">
        <v>25000</v>
      </c>
      <c r="G36" s="19">
        <f t="shared" si="1"/>
        <v>2500000</v>
      </c>
      <c r="J36" s="34"/>
    </row>
    <row r="37" spans="1:10" ht="31.5" x14ac:dyDescent="0.25">
      <c r="A37" s="4"/>
      <c r="B37" s="3">
        <v>2863</v>
      </c>
      <c r="C37" s="3" t="s">
        <v>71</v>
      </c>
      <c r="D37" s="3" t="s">
        <v>98</v>
      </c>
      <c r="E37" s="19">
        <v>1</v>
      </c>
      <c r="F37" s="19">
        <v>26000</v>
      </c>
      <c r="G37" s="19">
        <f t="shared" si="1"/>
        <v>26000</v>
      </c>
      <c r="J37" s="34"/>
    </row>
    <row r="38" spans="1:10" ht="31.5" x14ac:dyDescent="0.25">
      <c r="A38" s="4"/>
      <c r="B38" s="3">
        <v>2864</v>
      </c>
      <c r="C38" s="3" t="s">
        <v>62</v>
      </c>
      <c r="D38" s="3" t="s">
        <v>98</v>
      </c>
      <c r="E38" s="19">
        <v>200</v>
      </c>
      <c r="F38" s="19">
        <v>25000</v>
      </c>
      <c r="G38" s="19">
        <f t="shared" si="1"/>
        <v>5000000</v>
      </c>
      <c r="J38" s="34"/>
    </row>
    <row r="39" spans="1:10" ht="31.5" x14ac:dyDescent="0.25">
      <c r="A39" s="4"/>
      <c r="B39" s="3">
        <v>2864</v>
      </c>
      <c r="C39" s="3" t="s">
        <v>62</v>
      </c>
      <c r="D39" s="3" t="s">
        <v>97</v>
      </c>
      <c r="E39" s="19">
        <v>20</v>
      </c>
      <c r="F39" s="19">
        <v>19500</v>
      </c>
      <c r="G39" s="19">
        <f t="shared" si="1"/>
        <v>390000</v>
      </c>
      <c r="J39" s="34"/>
    </row>
    <row r="40" spans="1:10" ht="31.5" x14ac:dyDescent="0.25">
      <c r="A40" s="4"/>
      <c r="B40" s="3">
        <v>2864</v>
      </c>
      <c r="C40" s="3" t="s">
        <v>62</v>
      </c>
      <c r="D40" s="3" t="s">
        <v>105</v>
      </c>
      <c r="E40" s="19">
        <v>20</v>
      </c>
      <c r="F40" s="19">
        <v>19500</v>
      </c>
      <c r="G40" s="19">
        <f t="shared" si="1"/>
        <v>390000</v>
      </c>
      <c r="J40" s="34"/>
    </row>
    <row r="41" spans="1:10" ht="31.5" x14ac:dyDescent="0.25">
      <c r="A41" s="4"/>
      <c r="B41" s="3">
        <v>2865</v>
      </c>
      <c r="C41" s="3" t="s">
        <v>72</v>
      </c>
      <c r="D41" s="3" t="s">
        <v>97</v>
      </c>
      <c r="E41" s="19">
        <v>5</v>
      </c>
      <c r="F41" s="19">
        <v>20000</v>
      </c>
      <c r="G41" s="19">
        <f t="shared" si="1"/>
        <v>100000</v>
      </c>
      <c r="J41" s="34"/>
    </row>
    <row r="42" spans="1:10" ht="31.5" x14ac:dyDescent="0.25">
      <c r="A42" s="4"/>
      <c r="B42" s="3">
        <v>2865</v>
      </c>
      <c r="C42" s="3" t="s">
        <v>72</v>
      </c>
      <c r="D42" s="3" t="s">
        <v>105</v>
      </c>
      <c r="E42" s="19">
        <v>1</v>
      </c>
      <c r="F42" s="19">
        <v>20000</v>
      </c>
      <c r="G42" s="19">
        <f t="shared" si="1"/>
        <v>20000</v>
      </c>
      <c r="J42" s="34"/>
    </row>
    <row r="43" spans="1:10" ht="31.5" x14ac:dyDescent="0.25">
      <c r="A43" s="4"/>
      <c r="B43" s="3">
        <v>2866</v>
      </c>
      <c r="C43" s="3" t="s">
        <v>69</v>
      </c>
      <c r="D43" s="3" t="s">
        <v>98</v>
      </c>
      <c r="E43" s="19">
        <v>1</v>
      </c>
      <c r="F43" s="19">
        <v>26000</v>
      </c>
      <c r="G43" s="19">
        <f t="shared" si="1"/>
        <v>26000</v>
      </c>
      <c r="J43" s="34"/>
    </row>
    <row r="44" spans="1:10" ht="31.5" x14ac:dyDescent="0.25">
      <c r="A44" s="4"/>
      <c r="B44" s="3">
        <v>2867</v>
      </c>
      <c r="C44" s="3" t="s">
        <v>82</v>
      </c>
      <c r="D44" s="3" t="s">
        <v>98</v>
      </c>
      <c r="E44" s="19">
        <v>200</v>
      </c>
      <c r="F44" s="19">
        <v>25000</v>
      </c>
      <c r="G44" s="19">
        <f t="shared" si="1"/>
        <v>5000000</v>
      </c>
      <c r="J44" s="34"/>
    </row>
    <row r="45" spans="1:10" ht="31.5" x14ac:dyDescent="0.25">
      <c r="A45" s="4"/>
      <c r="B45" s="3">
        <v>2868</v>
      </c>
      <c r="C45" s="3" t="s">
        <v>69</v>
      </c>
      <c r="D45" s="3" t="s">
        <v>98</v>
      </c>
      <c r="E45" s="19">
        <v>1</v>
      </c>
      <c r="F45" s="19">
        <v>26000</v>
      </c>
      <c r="G45" s="19">
        <f t="shared" si="1"/>
        <v>26000</v>
      </c>
      <c r="J45" s="34"/>
    </row>
    <row r="46" spans="1:10" ht="31.5" x14ac:dyDescent="0.25">
      <c r="A46" s="32">
        <v>45905</v>
      </c>
      <c r="B46" s="3">
        <v>2869</v>
      </c>
      <c r="C46" s="3" t="s">
        <v>111</v>
      </c>
      <c r="D46" s="3" t="s">
        <v>98</v>
      </c>
      <c r="E46" s="19">
        <v>4</v>
      </c>
      <c r="F46" s="19">
        <v>26000</v>
      </c>
      <c r="G46" s="19">
        <f t="shared" si="1"/>
        <v>104000</v>
      </c>
      <c r="J46" s="34" t="s">
        <v>119</v>
      </c>
    </row>
    <row r="47" spans="1:10" ht="31.5" x14ac:dyDescent="0.25">
      <c r="A47" s="4"/>
      <c r="B47" s="3">
        <v>2869</v>
      </c>
      <c r="C47" s="3" t="s">
        <v>111</v>
      </c>
      <c r="D47" s="3" t="s">
        <v>97</v>
      </c>
      <c r="E47" s="19">
        <v>5</v>
      </c>
      <c r="F47" s="19">
        <v>20000</v>
      </c>
      <c r="G47" s="19">
        <f t="shared" si="1"/>
        <v>100000</v>
      </c>
      <c r="J47" s="34" t="s">
        <v>143</v>
      </c>
    </row>
    <row r="48" spans="1:10" ht="31.5" x14ac:dyDescent="0.25">
      <c r="A48" s="36"/>
      <c r="B48" s="39"/>
      <c r="C48" s="3" t="s">
        <v>111</v>
      </c>
      <c r="D48" s="3" t="s">
        <v>97</v>
      </c>
      <c r="E48" s="34">
        <v>6</v>
      </c>
      <c r="F48" s="34">
        <v>21000</v>
      </c>
      <c r="G48" s="34">
        <f>E48*F48</f>
        <v>126000</v>
      </c>
      <c r="H48" s="39"/>
      <c r="I48" s="39"/>
      <c r="J48" s="34"/>
    </row>
    <row r="49" spans="1:10" x14ac:dyDescent="0.25">
      <c r="A49" s="36"/>
      <c r="B49" s="39"/>
      <c r="C49" s="39"/>
      <c r="D49" s="39" t="s">
        <v>102</v>
      </c>
      <c r="E49" s="34">
        <v>2</v>
      </c>
      <c r="F49" s="34">
        <v>7000</v>
      </c>
      <c r="G49" s="34">
        <f>E49*F49</f>
        <v>14000</v>
      </c>
      <c r="H49" s="39"/>
      <c r="I49" s="39"/>
      <c r="J49" s="34"/>
    </row>
    <row r="50" spans="1:10" ht="31.5" x14ac:dyDescent="0.25">
      <c r="A50" s="4"/>
      <c r="B50" s="3">
        <v>2869</v>
      </c>
      <c r="C50" s="3" t="s">
        <v>111</v>
      </c>
      <c r="D50" s="3" t="s">
        <v>99</v>
      </c>
      <c r="E50" s="19">
        <v>4</v>
      </c>
      <c r="F50" s="19">
        <v>18000</v>
      </c>
      <c r="G50" s="19">
        <f t="shared" si="1"/>
        <v>72000</v>
      </c>
      <c r="J50" s="34" t="s">
        <v>121</v>
      </c>
    </row>
    <row r="51" spans="1:10" ht="31.5" x14ac:dyDescent="0.25">
      <c r="A51" s="36"/>
      <c r="B51" s="39"/>
      <c r="C51" s="3" t="s">
        <v>111</v>
      </c>
      <c r="D51" s="39" t="s">
        <v>103</v>
      </c>
      <c r="E51" s="34">
        <v>59</v>
      </c>
      <c r="F51" s="34">
        <v>300</v>
      </c>
      <c r="G51" s="34">
        <f>E51*F51</f>
        <v>17700</v>
      </c>
      <c r="H51" s="39"/>
      <c r="I51" s="39"/>
      <c r="J51" s="34"/>
    </row>
    <row r="52" spans="1:10" ht="31.5" x14ac:dyDescent="0.25">
      <c r="A52" s="4"/>
      <c r="B52" s="3">
        <v>2869</v>
      </c>
      <c r="C52" s="3" t="s">
        <v>111</v>
      </c>
      <c r="D52" s="3" t="s">
        <v>105</v>
      </c>
      <c r="E52" s="19">
        <v>2</v>
      </c>
      <c r="F52" s="19">
        <v>21000</v>
      </c>
      <c r="G52" s="19">
        <f t="shared" si="1"/>
        <v>42000</v>
      </c>
      <c r="J52" s="34" t="s">
        <v>120</v>
      </c>
    </row>
    <row r="53" spans="1:10" ht="31.5" x14ac:dyDescent="0.25">
      <c r="A53" s="36"/>
      <c r="B53" s="39"/>
      <c r="C53" s="3" t="s">
        <v>111</v>
      </c>
      <c r="D53" s="39" t="s">
        <v>101</v>
      </c>
      <c r="E53" s="34">
        <v>6</v>
      </c>
      <c r="F53" s="34">
        <v>1400</v>
      </c>
      <c r="G53" s="34">
        <f>E53*F53</f>
        <v>8400</v>
      </c>
      <c r="H53" s="39"/>
      <c r="I53" s="39"/>
      <c r="J53" s="34"/>
    </row>
    <row r="54" spans="1:10" ht="31.5" x14ac:dyDescent="0.25">
      <c r="A54" s="4"/>
      <c r="B54" s="3">
        <v>2870</v>
      </c>
      <c r="C54" s="3" t="s">
        <v>69</v>
      </c>
      <c r="D54" s="3" t="s">
        <v>98</v>
      </c>
      <c r="E54" s="19">
        <v>1</v>
      </c>
      <c r="F54" s="19">
        <v>26000</v>
      </c>
      <c r="G54" s="19">
        <f t="shared" si="1"/>
        <v>26000</v>
      </c>
      <c r="J54" s="34"/>
    </row>
    <row r="55" spans="1:10" ht="31.5" x14ac:dyDescent="0.25">
      <c r="A55" s="4"/>
      <c r="B55" s="3">
        <v>2871</v>
      </c>
      <c r="C55" s="3" t="s">
        <v>66</v>
      </c>
      <c r="D55" s="3" t="s">
        <v>98</v>
      </c>
      <c r="E55" s="19">
        <v>200</v>
      </c>
      <c r="F55" s="19">
        <v>25000</v>
      </c>
      <c r="G55" s="19">
        <f t="shared" si="1"/>
        <v>5000000</v>
      </c>
      <c r="J55" s="34"/>
    </row>
    <row r="56" spans="1:10" ht="31.5" x14ac:dyDescent="0.25">
      <c r="A56" s="4"/>
      <c r="B56" s="3">
        <v>2872</v>
      </c>
      <c r="C56" s="3" t="s">
        <v>69</v>
      </c>
      <c r="D56" s="3" t="s">
        <v>98</v>
      </c>
      <c r="E56" s="19">
        <v>2</v>
      </c>
      <c r="F56" s="19">
        <v>26000</v>
      </c>
      <c r="G56" s="19">
        <f t="shared" si="1"/>
        <v>52000</v>
      </c>
      <c r="J56" s="34"/>
    </row>
    <row r="57" spans="1:10" ht="31.5" x14ac:dyDescent="0.25">
      <c r="A57" s="4"/>
      <c r="B57" s="3">
        <v>2872</v>
      </c>
      <c r="C57" s="3" t="s">
        <v>69</v>
      </c>
      <c r="D57" s="3" t="s">
        <v>99</v>
      </c>
      <c r="E57" s="19">
        <v>1</v>
      </c>
      <c r="F57" s="19">
        <v>18000</v>
      </c>
      <c r="G57" s="19">
        <f t="shared" si="1"/>
        <v>18000</v>
      </c>
      <c r="J57" s="34"/>
    </row>
    <row r="58" spans="1:10" ht="31.5" x14ac:dyDescent="0.25">
      <c r="A58" s="4"/>
      <c r="B58" s="3">
        <v>2872</v>
      </c>
      <c r="C58" s="3" t="s">
        <v>69</v>
      </c>
      <c r="D58" s="3" t="s">
        <v>105</v>
      </c>
      <c r="E58" s="19">
        <v>2</v>
      </c>
      <c r="F58" s="19">
        <v>20000</v>
      </c>
      <c r="G58" s="19">
        <f t="shared" si="1"/>
        <v>40000</v>
      </c>
      <c r="J58" s="34"/>
    </row>
    <row r="59" spans="1:10" ht="31.5" x14ac:dyDescent="0.25">
      <c r="A59" s="32">
        <v>45906</v>
      </c>
      <c r="B59" s="3">
        <v>2873</v>
      </c>
      <c r="C59" s="3" t="s">
        <v>73</v>
      </c>
      <c r="D59" s="3" t="s">
        <v>105</v>
      </c>
      <c r="E59" s="19">
        <v>18</v>
      </c>
      <c r="F59" s="19">
        <v>20000</v>
      </c>
      <c r="G59" s="19">
        <f t="shared" si="1"/>
        <v>360000</v>
      </c>
      <c r="J59" s="34"/>
    </row>
    <row r="60" spans="1:10" ht="31.5" x14ac:dyDescent="0.25">
      <c r="A60" s="4"/>
      <c r="B60" s="3">
        <v>2874</v>
      </c>
      <c r="C60" s="3" t="s">
        <v>76</v>
      </c>
      <c r="D60" s="3" t="s">
        <v>98</v>
      </c>
      <c r="E60" s="19">
        <v>100</v>
      </c>
      <c r="F60" s="19">
        <v>25000</v>
      </c>
      <c r="G60" s="19">
        <f t="shared" si="1"/>
        <v>2500000</v>
      </c>
      <c r="J60" s="34"/>
    </row>
    <row r="61" spans="1:10" ht="31.5" x14ac:dyDescent="0.25">
      <c r="A61" s="4"/>
      <c r="B61" s="3">
        <v>2875</v>
      </c>
      <c r="C61" s="3" t="s">
        <v>61</v>
      </c>
      <c r="D61" s="3" t="s">
        <v>98</v>
      </c>
      <c r="E61" s="19">
        <v>250</v>
      </c>
      <c r="F61" s="19">
        <v>25000</v>
      </c>
      <c r="G61" s="19">
        <f t="shared" si="1"/>
        <v>6250000</v>
      </c>
      <c r="J61" s="34"/>
    </row>
    <row r="62" spans="1:10" ht="31.5" x14ac:dyDescent="0.25">
      <c r="A62" s="32">
        <v>45908</v>
      </c>
      <c r="B62" s="3">
        <v>2876</v>
      </c>
      <c r="C62" s="3" t="s">
        <v>122</v>
      </c>
      <c r="D62" s="3" t="s">
        <v>98</v>
      </c>
      <c r="E62" s="19">
        <v>9</v>
      </c>
      <c r="F62" s="19">
        <v>26000</v>
      </c>
      <c r="G62" s="19">
        <f t="shared" si="1"/>
        <v>234000</v>
      </c>
      <c r="J62" s="34" t="s">
        <v>123</v>
      </c>
    </row>
    <row r="63" spans="1:10" ht="31.5" x14ac:dyDescent="0.25">
      <c r="A63" s="4"/>
      <c r="B63" s="3">
        <v>2876</v>
      </c>
      <c r="C63" s="3" t="s">
        <v>122</v>
      </c>
      <c r="D63" s="3" t="s">
        <v>97</v>
      </c>
      <c r="E63" s="19">
        <v>12</v>
      </c>
      <c r="F63" s="19">
        <v>20000</v>
      </c>
      <c r="G63" s="19">
        <f t="shared" si="1"/>
        <v>240000</v>
      </c>
      <c r="J63" s="34"/>
    </row>
    <row r="64" spans="1:10" ht="31.5" x14ac:dyDescent="0.25">
      <c r="A64" s="36"/>
      <c r="B64" s="39"/>
      <c r="C64" s="3" t="s">
        <v>122</v>
      </c>
      <c r="D64" s="3" t="s">
        <v>97</v>
      </c>
      <c r="E64" s="34">
        <v>8</v>
      </c>
      <c r="F64" s="34">
        <v>21000</v>
      </c>
      <c r="G64" s="34">
        <f>E64*F64</f>
        <v>168000</v>
      </c>
      <c r="H64" s="39"/>
      <c r="I64" s="39"/>
      <c r="J64" s="34"/>
    </row>
    <row r="65" spans="1:10" ht="31.5" x14ac:dyDescent="0.25">
      <c r="A65" s="4"/>
      <c r="B65" s="3">
        <v>2876</v>
      </c>
      <c r="C65" s="3" t="s">
        <v>122</v>
      </c>
      <c r="D65" s="3" t="s">
        <v>105</v>
      </c>
      <c r="E65" s="19">
        <v>18</v>
      </c>
      <c r="F65" s="19">
        <v>20000</v>
      </c>
      <c r="G65" s="19">
        <f t="shared" si="1"/>
        <v>360000</v>
      </c>
      <c r="J65" s="34"/>
    </row>
    <row r="66" spans="1:10" ht="31.5" x14ac:dyDescent="0.25">
      <c r="A66" s="36"/>
      <c r="B66" s="39"/>
      <c r="C66" s="3" t="s">
        <v>122</v>
      </c>
      <c r="D66" s="3" t="s">
        <v>105</v>
      </c>
      <c r="E66" s="34">
        <v>12</v>
      </c>
      <c r="F66" s="34">
        <v>20250</v>
      </c>
      <c r="G66" s="34">
        <f>E66*F66</f>
        <v>243000</v>
      </c>
      <c r="H66" s="39"/>
      <c r="I66" s="39"/>
      <c r="J66" s="34"/>
    </row>
    <row r="67" spans="1:10" ht="31.5" x14ac:dyDescent="0.25">
      <c r="A67" s="4"/>
      <c r="B67" s="3">
        <v>2876</v>
      </c>
      <c r="C67" s="3" t="s">
        <v>122</v>
      </c>
      <c r="D67" s="3" t="s">
        <v>99</v>
      </c>
      <c r="E67" s="19">
        <v>20</v>
      </c>
      <c r="F67" s="19">
        <v>18000</v>
      </c>
      <c r="G67" s="19">
        <f t="shared" si="1"/>
        <v>360000</v>
      </c>
      <c r="J67" s="34"/>
    </row>
    <row r="68" spans="1:10" ht="31.5" x14ac:dyDescent="0.25">
      <c r="A68" s="4"/>
      <c r="B68" s="3">
        <v>2877</v>
      </c>
      <c r="C68" s="3" t="s">
        <v>72</v>
      </c>
      <c r="D68" s="3" t="s">
        <v>105</v>
      </c>
      <c r="E68" s="19">
        <v>2</v>
      </c>
      <c r="F68" s="19">
        <v>20000</v>
      </c>
      <c r="G68" s="19">
        <f t="shared" si="1"/>
        <v>40000</v>
      </c>
      <c r="J68" s="34"/>
    </row>
    <row r="69" spans="1:10" ht="31.5" x14ac:dyDescent="0.25">
      <c r="A69" s="4"/>
      <c r="B69" s="3">
        <v>2878</v>
      </c>
      <c r="C69" s="3" t="s">
        <v>72</v>
      </c>
      <c r="D69" s="3" t="s">
        <v>105</v>
      </c>
      <c r="E69" s="19">
        <v>3</v>
      </c>
      <c r="F69" s="19">
        <v>20000</v>
      </c>
      <c r="G69" s="19">
        <f t="shared" si="1"/>
        <v>60000</v>
      </c>
      <c r="J69" s="34"/>
    </row>
    <row r="70" spans="1:10" ht="31.5" x14ac:dyDescent="0.25">
      <c r="A70" s="4"/>
      <c r="B70" s="3">
        <v>2878</v>
      </c>
      <c r="C70" s="3" t="s">
        <v>72</v>
      </c>
      <c r="D70" s="3" t="s">
        <v>97</v>
      </c>
      <c r="E70" s="19">
        <v>1</v>
      </c>
      <c r="F70" s="19">
        <v>20000</v>
      </c>
      <c r="G70" s="19">
        <f t="shared" si="1"/>
        <v>20000</v>
      </c>
      <c r="J70" s="34"/>
    </row>
    <row r="71" spans="1:10" ht="31.5" x14ac:dyDescent="0.25">
      <c r="A71" s="4"/>
      <c r="B71" s="3">
        <v>2879</v>
      </c>
      <c r="C71" s="3" t="s">
        <v>66</v>
      </c>
      <c r="D71" s="3" t="s">
        <v>98</v>
      </c>
      <c r="E71" s="19">
        <v>105</v>
      </c>
      <c r="F71" s="19">
        <v>25000</v>
      </c>
      <c r="G71" s="19">
        <f t="shared" si="1"/>
        <v>2625000</v>
      </c>
      <c r="J71" s="34"/>
    </row>
    <row r="72" spans="1:10" ht="31.5" x14ac:dyDescent="0.25">
      <c r="A72" s="4"/>
      <c r="B72" s="3">
        <v>2880</v>
      </c>
      <c r="C72" s="3" t="s">
        <v>71</v>
      </c>
      <c r="D72" s="3" t="s">
        <v>97</v>
      </c>
      <c r="E72" s="19">
        <v>5</v>
      </c>
      <c r="F72" s="19">
        <v>20000</v>
      </c>
      <c r="G72" s="19">
        <f t="shared" si="1"/>
        <v>100000</v>
      </c>
      <c r="J72" s="34"/>
    </row>
    <row r="73" spans="1:10" ht="31.5" x14ac:dyDescent="0.25">
      <c r="A73" s="4"/>
      <c r="B73" s="3">
        <v>2881</v>
      </c>
      <c r="C73" s="3" t="s">
        <v>69</v>
      </c>
      <c r="D73" s="3" t="s">
        <v>105</v>
      </c>
      <c r="E73" s="19">
        <v>2</v>
      </c>
      <c r="F73" s="19">
        <v>20000</v>
      </c>
      <c r="G73" s="19">
        <f t="shared" si="1"/>
        <v>40000</v>
      </c>
      <c r="J73" s="34"/>
    </row>
    <row r="74" spans="1:10" ht="31.5" x14ac:dyDescent="0.25">
      <c r="A74" s="4"/>
      <c r="B74" s="3">
        <v>2881</v>
      </c>
      <c r="C74" s="3" t="s">
        <v>69</v>
      </c>
      <c r="D74" s="3" t="s">
        <v>99</v>
      </c>
      <c r="E74" s="19">
        <v>1</v>
      </c>
      <c r="F74" s="19">
        <v>18000</v>
      </c>
      <c r="G74" s="19">
        <f t="shared" si="1"/>
        <v>18000</v>
      </c>
      <c r="J74" s="34"/>
    </row>
    <row r="75" spans="1:10" ht="31.5" x14ac:dyDescent="0.25">
      <c r="A75" s="32">
        <v>45909</v>
      </c>
      <c r="B75" s="3">
        <v>2882</v>
      </c>
      <c r="C75" s="3" t="s">
        <v>76</v>
      </c>
      <c r="D75" s="3" t="s">
        <v>98</v>
      </c>
      <c r="E75" s="19">
        <v>100</v>
      </c>
      <c r="F75" s="19">
        <v>25000</v>
      </c>
      <c r="G75" s="19">
        <f t="shared" si="1"/>
        <v>2500000</v>
      </c>
      <c r="J75" s="34"/>
    </row>
    <row r="76" spans="1:10" ht="31.5" x14ac:dyDescent="0.25">
      <c r="A76" s="4"/>
      <c r="B76" s="3">
        <v>2883</v>
      </c>
      <c r="C76" s="3" t="s">
        <v>70</v>
      </c>
      <c r="D76" s="3" t="s">
        <v>97</v>
      </c>
      <c r="E76" s="19">
        <v>6</v>
      </c>
      <c r="F76" s="19">
        <v>20000</v>
      </c>
      <c r="G76" s="19">
        <f t="shared" si="1"/>
        <v>120000</v>
      </c>
      <c r="J76" s="34"/>
    </row>
    <row r="77" spans="1:10" ht="31.5" x14ac:dyDescent="0.25">
      <c r="A77" s="4"/>
      <c r="B77" s="3">
        <v>2884</v>
      </c>
      <c r="C77" s="3" t="s">
        <v>72</v>
      </c>
      <c r="D77" s="3" t="s">
        <v>98</v>
      </c>
      <c r="E77" s="19">
        <v>1</v>
      </c>
      <c r="F77" s="19">
        <v>26000</v>
      </c>
      <c r="G77" s="19">
        <f t="shared" si="1"/>
        <v>26000</v>
      </c>
      <c r="J77" s="34"/>
    </row>
    <row r="78" spans="1:10" ht="31.5" x14ac:dyDescent="0.25">
      <c r="A78" s="4"/>
      <c r="B78" s="3">
        <v>2885</v>
      </c>
      <c r="C78" s="3" t="s">
        <v>85</v>
      </c>
      <c r="D78" s="3" t="s">
        <v>98</v>
      </c>
      <c r="E78" s="19">
        <v>100</v>
      </c>
      <c r="F78" s="19">
        <v>25000</v>
      </c>
      <c r="G78" s="19">
        <f t="shared" si="0"/>
        <v>2500000</v>
      </c>
      <c r="J78" s="34"/>
    </row>
    <row r="79" spans="1:10" ht="31.5" x14ac:dyDescent="0.25">
      <c r="A79" s="4"/>
      <c r="B79" s="3">
        <v>2886</v>
      </c>
      <c r="C79" s="3" t="s">
        <v>63</v>
      </c>
      <c r="D79" s="3" t="s">
        <v>98</v>
      </c>
      <c r="E79" s="19">
        <v>100</v>
      </c>
      <c r="F79" s="19">
        <v>25000</v>
      </c>
      <c r="G79" s="19">
        <f t="shared" si="0"/>
        <v>2500000</v>
      </c>
      <c r="J79" s="34"/>
    </row>
    <row r="80" spans="1:10" ht="31.5" x14ac:dyDescent="0.25">
      <c r="A80" s="4"/>
      <c r="B80" s="3">
        <v>2887</v>
      </c>
      <c r="C80" s="3" t="s">
        <v>69</v>
      </c>
      <c r="D80" s="3" t="s">
        <v>98</v>
      </c>
      <c r="E80" s="19">
        <v>1</v>
      </c>
      <c r="F80" s="19">
        <v>26000</v>
      </c>
      <c r="G80" s="19">
        <f t="shared" si="0"/>
        <v>26000</v>
      </c>
      <c r="J80" s="34"/>
    </row>
    <row r="81" spans="1:10" ht="31.5" x14ac:dyDescent="0.25">
      <c r="A81" s="4"/>
      <c r="B81" s="3">
        <v>2888</v>
      </c>
      <c r="C81" s="3" t="s">
        <v>72</v>
      </c>
      <c r="D81" s="3" t="s">
        <v>105</v>
      </c>
      <c r="E81" s="19">
        <v>2</v>
      </c>
      <c r="F81" s="19">
        <v>20000</v>
      </c>
      <c r="G81" s="19">
        <f t="shared" si="0"/>
        <v>40000</v>
      </c>
      <c r="J81" s="34"/>
    </row>
    <row r="82" spans="1:10" ht="31.5" x14ac:dyDescent="0.25">
      <c r="A82" s="4"/>
      <c r="B82" s="3">
        <v>2889</v>
      </c>
      <c r="C82" s="3" t="s">
        <v>66</v>
      </c>
      <c r="D82" s="3" t="s">
        <v>98</v>
      </c>
      <c r="E82" s="19">
        <v>15</v>
      </c>
      <c r="F82" s="19">
        <v>25000</v>
      </c>
      <c r="G82" s="19">
        <f t="shared" si="0"/>
        <v>375000</v>
      </c>
      <c r="J82" s="34"/>
    </row>
    <row r="83" spans="1:10" ht="31.5" x14ac:dyDescent="0.25">
      <c r="A83" s="32">
        <v>45910</v>
      </c>
      <c r="B83" s="3">
        <v>2890</v>
      </c>
      <c r="C83" s="3" t="s">
        <v>66</v>
      </c>
      <c r="D83" s="3" t="s">
        <v>98</v>
      </c>
      <c r="E83" s="19">
        <v>185</v>
      </c>
      <c r="F83" s="19">
        <v>25000</v>
      </c>
      <c r="G83" s="19">
        <f t="shared" si="0"/>
        <v>4625000</v>
      </c>
      <c r="J83" s="34"/>
    </row>
    <row r="84" spans="1:10" ht="31.5" x14ac:dyDescent="0.25">
      <c r="A84" s="4"/>
      <c r="B84" s="3">
        <v>2891</v>
      </c>
      <c r="C84" s="3" t="s">
        <v>141</v>
      </c>
      <c r="D84" s="3" t="s">
        <v>98</v>
      </c>
      <c r="E84" s="19">
        <v>250</v>
      </c>
      <c r="F84" s="19">
        <v>25000</v>
      </c>
      <c r="G84" s="19">
        <f>E84*F84</f>
        <v>6250000</v>
      </c>
      <c r="J84" s="34"/>
    </row>
    <row r="85" spans="1:10" ht="31.5" x14ac:dyDescent="0.25">
      <c r="A85" s="4"/>
      <c r="B85" s="3">
        <v>2892</v>
      </c>
      <c r="C85" s="3" t="s">
        <v>71</v>
      </c>
      <c r="D85" s="3" t="s">
        <v>105</v>
      </c>
      <c r="E85" s="19">
        <v>3</v>
      </c>
      <c r="F85" s="19">
        <v>20000</v>
      </c>
      <c r="G85" s="19">
        <f t="shared" si="0"/>
        <v>60000</v>
      </c>
      <c r="J85" s="34"/>
    </row>
    <row r="86" spans="1:10" ht="31.5" x14ac:dyDescent="0.25">
      <c r="A86" s="4"/>
      <c r="B86" s="3">
        <v>2893</v>
      </c>
      <c r="C86" s="3" t="s">
        <v>66</v>
      </c>
      <c r="D86" s="3" t="s">
        <v>98</v>
      </c>
      <c r="E86" s="19">
        <v>100</v>
      </c>
      <c r="F86" s="19">
        <v>25000</v>
      </c>
      <c r="G86" s="19">
        <f t="shared" si="0"/>
        <v>2500000</v>
      </c>
      <c r="J86" s="34"/>
    </row>
    <row r="87" spans="1:10" ht="31.5" x14ac:dyDescent="0.25">
      <c r="A87" s="4"/>
      <c r="B87" s="3">
        <v>2894</v>
      </c>
      <c r="C87" s="3" t="s">
        <v>66</v>
      </c>
      <c r="D87" s="3" t="s">
        <v>98</v>
      </c>
      <c r="E87" s="19">
        <v>20</v>
      </c>
      <c r="F87" s="19">
        <v>25000</v>
      </c>
      <c r="G87" s="19">
        <f t="shared" si="0"/>
        <v>500000</v>
      </c>
      <c r="J87" s="34"/>
    </row>
    <row r="88" spans="1:10" ht="31.5" x14ac:dyDescent="0.25">
      <c r="A88" s="4"/>
      <c r="B88" s="3">
        <v>2895</v>
      </c>
      <c r="C88" s="3" t="s">
        <v>61</v>
      </c>
      <c r="D88" s="3" t="s">
        <v>98</v>
      </c>
      <c r="E88" s="19">
        <v>250</v>
      </c>
      <c r="F88" s="19">
        <v>25000</v>
      </c>
      <c r="G88" s="19">
        <f t="shared" si="0"/>
        <v>6250000</v>
      </c>
      <c r="J88" s="34"/>
    </row>
    <row r="89" spans="1:10" ht="31.5" x14ac:dyDescent="0.25">
      <c r="A89" s="4"/>
      <c r="B89" s="3">
        <v>2896</v>
      </c>
      <c r="C89" s="3" t="s">
        <v>69</v>
      </c>
      <c r="D89" s="3" t="s">
        <v>98</v>
      </c>
      <c r="E89" s="19">
        <v>1</v>
      </c>
      <c r="F89" s="19">
        <v>26000</v>
      </c>
      <c r="G89" s="19">
        <f t="shared" si="0"/>
        <v>26000</v>
      </c>
      <c r="J89" s="34"/>
    </row>
    <row r="90" spans="1:10" ht="31.5" x14ac:dyDescent="0.25">
      <c r="A90" s="4"/>
      <c r="B90" s="3">
        <v>2897</v>
      </c>
      <c r="C90" s="3" t="s">
        <v>71</v>
      </c>
      <c r="D90" s="3" t="s">
        <v>98</v>
      </c>
      <c r="E90" s="19">
        <v>1</v>
      </c>
      <c r="F90" s="19">
        <v>26000</v>
      </c>
      <c r="G90" s="19">
        <f t="shared" si="0"/>
        <v>26000</v>
      </c>
      <c r="J90" s="34"/>
    </row>
    <row r="91" spans="1:10" ht="31.5" x14ac:dyDescent="0.25">
      <c r="A91" s="4"/>
      <c r="B91" s="3">
        <v>2898</v>
      </c>
      <c r="C91" s="3" t="s">
        <v>111</v>
      </c>
      <c r="D91" s="3" t="s">
        <v>98</v>
      </c>
      <c r="E91" s="19">
        <v>4</v>
      </c>
      <c r="F91" s="19">
        <v>26000</v>
      </c>
      <c r="G91" s="19">
        <f t="shared" si="0"/>
        <v>104000</v>
      </c>
      <c r="J91" s="34"/>
    </row>
    <row r="92" spans="1:10" ht="31.5" x14ac:dyDescent="0.25">
      <c r="A92" s="4"/>
      <c r="B92" s="3">
        <v>2898</v>
      </c>
      <c r="C92" s="3" t="s">
        <v>111</v>
      </c>
      <c r="D92" s="3" t="s">
        <v>97</v>
      </c>
      <c r="E92" s="19">
        <v>6</v>
      </c>
      <c r="F92" s="19">
        <v>20500</v>
      </c>
      <c r="G92" s="19">
        <f t="shared" si="0"/>
        <v>123000</v>
      </c>
      <c r="J92" s="34"/>
    </row>
    <row r="93" spans="1:10" ht="31.5" x14ac:dyDescent="0.25">
      <c r="A93" s="4"/>
      <c r="B93" s="3">
        <v>2898</v>
      </c>
      <c r="C93" s="3" t="s">
        <v>111</v>
      </c>
      <c r="D93" s="3" t="s">
        <v>102</v>
      </c>
      <c r="E93" s="19">
        <v>2</v>
      </c>
      <c r="F93" s="19">
        <v>7000</v>
      </c>
      <c r="G93" s="19">
        <f t="shared" si="0"/>
        <v>14000</v>
      </c>
      <c r="J93" s="34"/>
    </row>
    <row r="94" spans="1:10" ht="31.5" x14ac:dyDescent="0.25">
      <c r="A94" s="4"/>
      <c r="B94" s="3">
        <v>2898</v>
      </c>
      <c r="C94" s="3" t="s">
        <v>111</v>
      </c>
      <c r="D94" s="3" t="s">
        <v>101</v>
      </c>
      <c r="E94" s="19">
        <v>12</v>
      </c>
      <c r="F94" s="19">
        <v>1400</v>
      </c>
      <c r="G94" s="19">
        <f t="shared" si="0"/>
        <v>16800</v>
      </c>
      <c r="J94" s="34"/>
    </row>
    <row r="95" spans="1:10" ht="31.5" x14ac:dyDescent="0.25">
      <c r="A95" s="4"/>
      <c r="B95" s="3">
        <v>2898</v>
      </c>
      <c r="C95" s="3" t="s">
        <v>111</v>
      </c>
      <c r="D95" s="3" t="s">
        <v>99</v>
      </c>
      <c r="E95" s="19">
        <v>4</v>
      </c>
      <c r="F95" s="19">
        <v>18000</v>
      </c>
      <c r="G95" s="19">
        <f t="shared" si="0"/>
        <v>72000</v>
      </c>
      <c r="J95" s="34"/>
    </row>
    <row r="96" spans="1:10" ht="31.5" x14ac:dyDescent="0.25">
      <c r="A96" s="4"/>
      <c r="B96" s="3">
        <v>2898</v>
      </c>
      <c r="C96" s="3" t="s">
        <v>111</v>
      </c>
      <c r="D96" s="3" t="s">
        <v>103</v>
      </c>
      <c r="E96" s="19">
        <v>29</v>
      </c>
      <c r="F96" s="19">
        <v>300</v>
      </c>
      <c r="G96" s="19">
        <f t="shared" si="0"/>
        <v>8700</v>
      </c>
      <c r="J96" s="34"/>
    </row>
    <row r="97" spans="1:10" ht="31.5" x14ac:dyDescent="0.25">
      <c r="A97" s="41">
        <v>45911</v>
      </c>
      <c r="B97" s="31">
        <v>2899</v>
      </c>
      <c r="C97" s="3" t="s">
        <v>79</v>
      </c>
      <c r="D97" s="3" t="s">
        <v>98</v>
      </c>
      <c r="E97" s="29">
        <v>250</v>
      </c>
      <c r="F97" s="29">
        <v>25000</v>
      </c>
      <c r="G97" s="29">
        <f t="shared" ref="G97:G131" si="2">E97*F97</f>
        <v>6250000</v>
      </c>
      <c r="H97" s="31"/>
      <c r="I97" s="31"/>
      <c r="J97" s="34"/>
    </row>
    <row r="98" spans="1:10" ht="31.5" x14ac:dyDescent="0.25">
      <c r="A98" s="30"/>
      <c r="B98" s="31">
        <v>2900</v>
      </c>
      <c r="C98" s="3" t="s">
        <v>72</v>
      </c>
      <c r="D98" s="3" t="s">
        <v>97</v>
      </c>
      <c r="E98" s="29">
        <v>2</v>
      </c>
      <c r="F98" s="29">
        <v>20000</v>
      </c>
      <c r="G98" s="29">
        <f t="shared" si="2"/>
        <v>40000</v>
      </c>
      <c r="H98" s="31"/>
      <c r="I98" s="31"/>
      <c r="J98" s="34"/>
    </row>
    <row r="99" spans="1:10" ht="31.5" x14ac:dyDescent="0.25">
      <c r="A99" s="30"/>
      <c r="B99" s="31">
        <v>2901</v>
      </c>
      <c r="C99" s="3" t="s">
        <v>72</v>
      </c>
      <c r="D99" s="3" t="s">
        <v>99</v>
      </c>
      <c r="E99" s="29">
        <v>3</v>
      </c>
      <c r="F99" s="29">
        <v>18000</v>
      </c>
      <c r="G99" s="29">
        <f t="shared" si="2"/>
        <v>54000</v>
      </c>
      <c r="H99" s="31"/>
      <c r="I99" s="31"/>
      <c r="J99" s="34"/>
    </row>
    <row r="100" spans="1:10" ht="31.5" x14ac:dyDescent="0.25">
      <c r="A100" s="30"/>
      <c r="B100" s="31">
        <v>2901</v>
      </c>
      <c r="C100" s="3" t="s">
        <v>72</v>
      </c>
      <c r="D100" s="3" t="s">
        <v>105</v>
      </c>
      <c r="E100" s="29">
        <v>3</v>
      </c>
      <c r="F100" s="29">
        <v>20000</v>
      </c>
      <c r="G100" s="29">
        <f t="shared" si="2"/>
        <v>60000</v>
      </c>
      <c r="H100" s="31"/>
      <c r="I100" s="31"/>
      <c r="J100" s="34"/>
    </row>
    <row r="101" spans="1:10" ht="31.5" x14ac:dyDescent="0.25">
      <c r="A101" s="30"/>
      <c r="B101" s="31">
        <v>2902</v>
      </c>
      <c r="C101" s="3" t="s">
        <v>142</v>
      </c>
      <c r="D101" s="3" t="s">
        <v>97</v>
      </c>
      <c r="E101" s="29">
        <v>5</v>
      </c>
      <c r="F101" s="29">
        <v>21000</v>
      </c>
      <c r="G101" s="29">
        <f t="shared" si="2"/>
        <v>105000</v>
      </c>
      <c r="H101" s="31"/>
      <c r="I101" s="31"/>
      <c r="J101" s="34"/>
    </row>
    <row r="102" spans="1:10" ht="31.5" x14ac:dyDescent="0.25">
      <c r="A102" s="36"/>
      <c r="B102" s="39"/>
      <c r="C102" s="3" t="s">
        <v>142</v>
      </c>
      <c r="D102" s="3" t="s">
        <v>97</v>
      </c>
      <c r="E102" s="34">
        <v>4</v>
      </c>
      <c r="F102" s="34">
        <v>20000</v>
      </c>
      <c r="G102" s="34">
        <f>E102*F102</f>
        <v>80000</v>
      </c>
      <c r="H102" s="39"/>
      <c r="I102" s="39"/>
      <c r="J102" s="34"/>
    </row>
    <row r="103" spans="1:10" ht="31.5" x14ac:dyDescent="0.25">
      <c r="A103" s="30"/>
      <c r="B103" s="31">
        <v>2902</v>
      </c>
      <c r="C103" s="3" t="s">
        <v>142</v>
      </c>
      <c r="D103" s="3" t="s">
        <v>98</v>
      </c>
      <c r="E103" s="29">
        <v>1</v>
      </c>
      <c r="F103" s="29">
        <v>26000</v>
      </c>
      <c r="G103" s="29">
        <f t="shared" si="2"/>
        <v>26000</v>
      </c>
      <c r="H103" s="31"/>
      <c r="I103" s="31"/>
      <c r="J103" s="34"/>
    </row>
    <row r="104" spans="1:10" ht="31.5" x14ac:dyDescent="0.25">
      <c r="A104" s="30"/>
      <c r="B104" s="31">
        <v>2902</v>
      </c>
      <c r="C104" s="3" t="s">
        <v>142</v>
      </c>
      <c r="D104" s="3" t="s">
        <v>99</v>
      </c>
      <c r="E104" s="29">
        <v>10</v>
      </c>
      <c r="F104" s="29">
        <v>18000</v>
      </c>
      <c r="G104" s="29">
        <f t="shared" si="2"/>
        <v>180000</v>
      </c>
      <c r="H104" s="31"/>
      <c r="I104" s="31"/>
      <c r="J104" s="34"/>
    </row>
    <row r="105" spans="1:10" ht="31.5" x14ac:dyDescent="0.25">
      <c r="A105" s="36"/>
      <c r="B105" s="39"/>
      <c r="C105" s="3" t="s">
        <v>142</v>
      </c>
      <c r="D105" s="39" t="s">
        <v>103</v>
      </c>
      <c r="E105" s="34">
        <v>2</v>
      </c>
      <c r="F105" s="34">
        <v>300</v>
      </c>
      <c r="G105" s="34">
        <f>E105*F105</f>
        <v>600</v>
      </c>
      <c r="H105" s="39"/>
      <c r="I105" s="39"/>
      <c r="J105" s="34"/>
    </row>
    <row r="106" spans="1:10" ht="31.5" x14ac:dyDescent="0.25">
      <c r="A106" s="30"/>
      <c r="B106" s="31">
        <v>2902</v>
      </c>
      <c r="C106" s="3" t="s">
        <v>142</v>
      </c>
      <c r="D106" s="3" t="s">
        <v>105</v>
      </c>
      <c r="E106" s="29">
        <v>4</v>
      </c>
      <c r="F106" s="29">
        <v>20000</v>
      </c>
      <c r="G106" s="29">
        <f t="shared" si="2"/>
        <v>80000</v>
      </c>
      <c r="H106" s="29"/>
      <c r="I106" s="31"/>
      <c r="J106" s="34"/>
    </row>
    <row r="107" spans="1:10" ht="31.5" x14ac:dyDescent="0.25">
      <c r="A107" s="36"/>
      <c r="B107" s="39"/>
      <c r="C107" s="3" t="s">
        <v>142</v>
      </c>
      <c r="D107" s="3" t="s">
        <v>105</v>
      </c>
      <c r="E107" s="34">
        <v>4</v>
      </c>
      <c r="F107" s="34">
        <v>20250</v>
      </c>
      <c r="G107" s="34">
        <f>E107*F107</f>
        <v>81000</v>
      </c>
      <c r="H107" s="39"/>
      <c r="I107" s="39"/>
      <c r="J107" s="34"/>
    </row>
    <row r="108" spans="1:10" ht="31.5" x14ac:dyDescent="0.25">
      <c r="A108" s="36"/>
      <c r="B108" s="39"/>
      <c r="C108" s="3" t="s">
        <v>142</v>
      </c>
      <c r="D108" s="39" t="s">
        <v>101</v>
      </c>
      <c r="E108" s="34">
        <v>2</v>
      </c>
      <c r="F108" s="34">
        <v>1350</v>
      </c>
      <c r="G108" s="34">
        <f>E108*F108</f>
        <v>2700</v>
      </c>
      <c r="H108" s="39"/>
      <c r="I108" s="39"/>
      <c r="J108" s="34"/>
    </row>
    <row r="109" spans="1:10" ht="31.5" x14ac:dyDescent="0.25">
      <c r="A109" s="41">
        <v>45912</v>
      </c>
      <c r="B109" s="31">
        <v>2903</v>
      </c>
      <c r="C109" s="3" t="s">
        <v>62</v>
      </c>
      <c r="D109" s="3" t="s">
        <v>98</v>
      </c>
      <c r="E109" s="29">
        <v>200</v>
      </c>
      <c r="F109" s="29">
        <v>25000</v>
      </c>
      <c r="G109" s="29">
        <f t="shared" si="2"/>
        <v>5000000</v>
      </c>
      <c r="H109" s="31"/>
      <c r="I109" s="31"/>
      <c r="J109" s="34"/>
    </row>
    <row r="110" spans="1:10" ht="31.5" x14ac:dyDescent="0.25">
      <c r="A110" s="30"/>
      <c r="B110" s="31">
        <v>2903</v>
      </c>
      <c r="C110" s="3" t="s">
        <v>62</v>
      </c>
      <c r="D110" s="3" t="s">
        <v>97</v>
      </c>
      <c r="E110" s="29">
        <v>20</v>
      </c>
      <c r="F110" s="29">
        <v>19500</v>
      </c>
      <c r="G110" s="29">
        <f t="shared" si="2"/>
        <v>390000</v>
      </c>
      <c r="H110" s="29"/>
      <c r="I110" s="31"/>
      <c r="J110" s="34"/>
    </row>
    <row r="111" spans="1:10" ht="31.5" x14ac:dyDescent="0.25">
      <c r="A111" s="30"/>
      <c r="B111" s="31">
        <v>2903</v>
      </c>
      <c r="C111" s="3" t="s">
        <v>62</v>
      </c>
      <c r="D111" s="3" t="s">
        <v>105</v>
      </c>
      <c r="E111" s="29">
        <v>20</v>
      </c>
      <c r="F111" s="29">
        <v>19500</v>
      </c>
      <c r="G111" s="29">
        <f t="shared" si="2"/>
        <v>390000</v>
      </c>
      <c r="H111" s="31"/>
      <c r="I111" s="31"/>
      <c r="J111" s="34"/>
    </row>
    <row r="112" spans="1:10" ht="31.5" x14ac:dyDescent="0.25">
      <c r="A112" s="30"/>
      <c r="B112" s="31">
        <v>2903</v>
      </c>
      <c r="C112" s="3" t="s">
        <v>62</v>
      </c>
      <c r="D112" s="3" t="s">
        <v>99</v>
      </c>
      <c r="E112" s="29">
        <v>20</v>
      </c>
      <c r="F112" s="29">
        <v>17000</v>
      </c>
      <c r="G112" s="29">
        <f t="shared" si="2"/>
        <v>340000</v>
      </c>
      <c r="H112" s="31"/>
      <c r="I112" s="31"/>
      <c r="J112" s="34"/>
    </row>
    <row r="113" spans="1:10" ht="31.5" x14ac:dyDescent="0.25">
      <c r="A113" s="30"/>
      <c r="B113" s="31">
        <v>2904</v>
      </c>
      <c r="C113" s="3" t="s">
        <v>60</v>
      </c>
      <c r="D113" s="3" t="s">
        <v>98</v>
      </c>
      <c r="E113" s="29">
        <v>250</v>
      </c>
      <c r="F113" s="29">
        <v>25000</v>
      </c>
      <c r="G113" s="29">
        <f t="shared" si="2"/>
        <v>6250000</v>
      </c>
      <c r="H113" s="31"/>
      <c r="I113" s="31"/>
      <c r="J113" s="34"/>
    </row>
    <row r="114" spans="1:10" ht="31.5" x14ac:dyDescent="0.25">
      <c r="A114" s="30"/>
      <c r="B114" s="31">
        <v>2905</v>
      </c>
      <c r="C114" s="3" t="s">
        <v>72</v>
      </c>
      <c r="D114" s="3" t="s">
        <v>105</v>
      </c>
      <c r="E114" s="29">
        <v>4</v>
      </c>
      <c r="F114" s="29">
        <v>20000</v>
      </c>
      <c r="G114" s="29">
        <f t="shared" si="2"/>
        <v>80000</v>
      </c>
      <c r="H114" s="31"/>
      <c r="I114" s="31"/>
      <c r="J114" s="34"/>
    </row>
    <row r="115" spans="1:10" ht="31.5" x14ac:dyDescent="0.25">
      <c r="A115" s="30"/>
      <c r="B115" s="31">
        <v>2905</v>
      </c>
      <c r="C115" s="3" t="s">
        <v>72</v>
      </c>
      <c r="D115" s="3" t="s">
        <v>99</v>
      </c>
      <c r="E115" s="29">
        <v>1</v>
      </c>
      <c r="F115" s="29">
        <v>18000</v>
      </c>
      <c r="G115" s="29">
        <f t="shared" si="2"/>
        <v>18000</v>
      </c>
      <c r="H115" s="31"/>
      <c r="I115" s="31"/>
      <c r="J115" s="34"/>
    </row>
    <row r="116" spans="1:10" ht="31.5" x14ac:dyDescent="0.25">
      <c r="A116" s="30"/>
      <c r="B116" s="31">
        <v>2905</v>
      </c>
      <c r="C116" s="3" t="s">
        <v>72</v>
      </c>
      <c r="D116" s="3" t="s">
        <v>98</v>
      </c>
      <c r="E116" s="29">
        <v>1</v>
      </c>
      <c r="F116" s="29">
        <v>26000</v>
      </c>
      <c r="G116" s="29">
        <f t="shared" si="2"/>
        <v>26000</v>
      </c>
      <c r="H116" s="31"/>
      <c r="I116" s="31"/>
      <c r="J116" s="34"/>
    </row>
    <row r="117" spans="1:10" ht="31.5" x14ac:dyDescent="0.25">
      <c r="A117" s="30"/>
      <c r="B117" s="31">
        <v>2906</v>
      </c>
      <c r="C117" s="3" t="s">
        <v>69</v>
      </c>
      <c r="D117" s="3" t="s">
        <v>97</v>
      </c>
      <c r="E117" s="29">
        <v>1</v>
      </c>
      <c r="F117" s="29">
        <v>20000</v>
      </c>
      <c r="G117" s="29">
        <f t="shared" si="2"/>
        <v>20000</v>
      </c>
      <c r="H117" s="31"/>
      <c r="I117" s="31"/>
      <c r="J117" s="34"/>
    </row>
    <row r="118" spans="1:10" ht="31.5" x14ac:dyDescent="0.25">
      <c r="A118" s="30"/>
      <c r="B118" s="31">
        <v>2907</v>
      </c>
      <c r="C118" s="3" t="s">
        <v>76</v>
      </c>
      <c r="D118" s="3" t="s">
        <v>98</v>
      </c>
      <c r="E118" s="29">
        <v>100</v>
      </c>
      <c r="F118" s="29">
        <v>25000</v>
      </c>
      <c r="G118" s="29">
        <f t="shared" si="2"/>
        <v>2500000</v>
      </c>
      <c r="H118" s="31"/>
      <c r="I118" s="31"/>
      <c r="J118" s="34"/>
    </row>
    <row r="119" spans="1:10" ht="31.5" x14ac:dyDescent="0.25">
      <c r="A119" s="30"/>
      <c r="B119" s="31">
        <v>2908</v>
      </c>
      <c r="C119" s="3" t="s">
        <v>66</v>
      </c>
      <c r="D119" s="3" t="s">
        <v>97</v>
      </c>
      <c r="E119" s="29">
        <v>1</v>
      </c>
      <c r="F119" s="29">
        <v>19500</v>
      </c>
      <c r="G119" s="29">
        <f t="shared" si="2"/>
        <v>19500</v>
      </c>
      <c r="H119" s="31"/>
      <c r="I119" s="31"/>
      <c r="J119" s="34"/>
    </row>
    <row r="120" spans="1:10" ht="31.5" x14ac:dyDescent="0.25">
      <c r="A120" s="41">
        <v>45913</v>
      </c>
      <c r="B120" s="31">
        <v>2909</v>
      </c>
      <c r="C120" s="3" t="s">
        <v>69</v>
      </c>
      <c r="D120" s="3" t="s">
        <v>99</v>
      </c>
      <c r="E120" s="29">
        <v>1</v>
      </c>
      <c r="F120" s="29">
        <v>18000</v>
      </c>
      <c r="G120" s="29">
        <f t="shared" si="2"/>
        <v>18000</v>
      </c>
      <c r="H120" s="31"/>
      <c r="I120" s="31"/>
      <c r="J120" s="34"/>
    </row>
    <row r="121" spans="1:10" ht="31.5" x14ac:dyDescent="0.25">
      <c r="A121" s="30"/>
      <c r="B121" s="31">
        <v>2910</v>
      </c>
      <c r="C121" s="3" t="s">
        <v>71</v>
      </c>
      <c r="D121" s="3" t="s">
        <v>105</v>
      </c>
      <c r="E121" s="29">
        <v>1</v>
      </c>
      <c r="F121" s="29">
        <v>20000</v>
      </c>
      <c r="G121" s="29">
        <f t="shared" si="2"/>
        <v>20000</v>
      </c>
      <c r="H121" s="31"/>
      <c r="I121" s="31"/>
      <c r="J121" s="34"/>
    </row>
    <row r="122" spans="1:10" ht="31.5" x14ac:dyDescent="0.25">
      <c r="A122" s="30"/>
      <c r="B122" s="31">
        <v>2911</v>
      </c>
      <c r="C122" s="3" t="s">
        <v>72</v>
      </c>
      <c r="D122" s="3" t="s">
        <v>105</v>
      </c>
      <c r="E122" s="29">
        <v>2</v>
      </c>
      <c r="F122" s="29">
        <v>20000</v>
      </c>
      <c r="G122" s="29">
        <f t="shared" si="2"/>
        <v>40000</v>
      </c>
      <c r="H122" s="31"/>
      <c r="I122" s="31"/>
      <c r="J122" s="34"/>
    </row>
    <row r="123" spans="1:10" ht="31.5" x14ac:dyDescent="0.25">
      <c r="A123" s="30"/>
      <c r="B123" s="31">
        <v>2912</v>
      </c>
      <c r="C123" s="3" t="s">
        <v>71</v>
      </c>
      <c r="D123" s="3" t="s">
        <v>98</v>
      </c>
      <c r="E123" s="29">
        <v>1</v>
      </c>
      <c r="F123" s="29">
        <v>26000</v>
      </c>
      <c r="G123" s="29">
        <f t="shared" si="2"/>
        <v>26000</v>
      </c>
      <c r="H123" s="31"/>
      <c r="I123" s="31"/>
      <c r="J123" s="34"/>
    </row>
    <row r="124" spans="1:10" ht="31.5" x14ac:dyDescent="0.25">
      <c r="A124" s="30"/>
      <c r="B124" s="31">
        <v>2913</v>
      </c>
      <c r="C124" s="3" t="s">
        <v>122</v>
      </c>
      <c r="D124" s="3" t="s">
        <v>97</v>
      </c>
      <c r="E124" s="29">
        <v>4</v>
      </c>
      <c r="F124" s="29">
        <v>20000</v>
      </c>
      <c r="G124" s="29">
        <f t="shared" si="2"/>
        <v>80000</v>
      </c>
      <c r="H124" s="31"/>
      <c r="I124" s="31"/>
      <c r="J124" s="34"/>
    </row>
    <row r="125" spans="1:10" ht="31.5" x14ac:dyDescent="0.25">
      <c r="A125" s="36"/>
      <c r="B125" s="31">
        <v>2913</v>
      </c>
      <c r="C125" s="3" t="s">
        <v>122</v>
      </c>
      <c r="D125" s="3" t="s">
        <v>97</v>
      </c>
      <c r="E125" s="34">
        <v>1</v>
      </c>
      <c r="F125" s="34">
        <v>21000</v>
      </c>
      <c r="G125" s="34">
        <f>E125*F125</f>
        <v>21000</v>
      </c>
      <c r="H125" s="39"/>
      <c r="I125" s="39"/>
      <c r="J125" s="34"/>
    </row>
    <row r="126" spans="1:10" ht="31.5" x14ac:dyDescent="0.25">
      <c r="A126" s="30"/>
      <c r="B126" s="31">
        <v>2913</v>
      </c>
      <c r="C126" s="3" t="s">
        <v>122</v>
      </c>
      <c r="D126" s="3" t="s">
        <v>102</v>
      </c>
      <c r="E126" s="29">
        <v>1</v>
      </c>
      <c r="F126" s="29">
        <v>7000</v>
      </c>
      <c r="G126" s="29">
        <f t="shared" si="2"/>
        <v>7000</v>
      </c>
      <c r="H126" s="31"/>
      <c r="I126" s="31"/>
      <c r="J126" s="34"/>
    </row>
    <row r="127" spans="1:10" ht="31.5" x14ac:dyDescent="0.25">
      <c r="A127" s="30"/>
      <c r="B127" s="31">
        <v>2913</v>
      </c>
      <c r="C127" s="3" t="s">
        <v>122</v>
      </c>
      <c r="D127" s="3" t="s">
        <v>105</v>
      </c>
      <c r="E127" s="29">
        <v>10</v>
      </c>
      <c r="F127" s="29">
        <v>20000</v>
      </c>
      <c r="G127" s="29">
        <f t="shared" si="2"/>
        <v>200000</v>
      </c>
      <c r="H127" s="31"/>
      <c r="I127" s="31"/>
      <c r="J127" s="34"/>
    </row>
    <row r="128" spans="1:10" ht="31.5" x14ac:dyDescent="0.25">
      <c r="A128" s="36"/>
      <c r="B128" s="31">
        <v>2913</v>
      </c>
      <c r="C128" s="3" t="s">
        <v>122</v>
      </c>
      <c r="D128" s="3" t="s">
        <v>105</v>
      </c>
      <c r="E128" s="34">
        <v>5</v>
      </c>
      <c r="F128" s="34">
        <v>20250</v>
      </c>
      <c r="G128" s="34">
        <f>E128*F128</f>
        <v>101250</v>
      </c>
      <c r="H128" s="39"/>
      <c r="I128" s="39"/>
      <c r="J128" s="34"/>
    </row>
    <row r="129" spans="1:10" ht="31.5" x14ac:dyDescent="0.25">
      <c r="A129" s="30"/>
      <c r="B129" s="31">
        <v>2913</v>
      </c>
      <c r="C129" s="3" t="s">
        <v>122</v>
      </c>
      <c r="D129" s="3" t="s">
        <v>101</v>
      </c>
      <c r="E129" s="29">
        <v>3</v>
      </c>
      <c r="F129" s="29">
        <v>1350</v>
      </c>
      <c r="G129" s="29">
        <f t="shared" si="2"/>
        <v>4050</v>
      </c>
      <c r="H129" s="31"/>
      <c r="I129" s="31"/>
      <c r="J129" s="34"/>
    </row>
    <row r="130" spans="1:10" ht="31.5" x14ac:dyDescent="0.25">
      <c r="A130" s="30"/>
      <c r="B130" s="31">
        <v>2913</v>
      </c>
      <c r="C130" s="3" t="s">
        <v>122</v>
      </c>
      <c r="D130" s="3" t="s">
        <v>98</v>
      </c>
      <c r="E130" s="29">
        <v>3</v>
      </c>
      <c r="F130" s="29">
        <v>26000</v>
      </c>
      <c r="G130" s="29">
        <f t="shared" si="2"/>
        <v>78000</v>
      </c>
      <c r="H130" s="31"/>
      <c r="I130" s="31"/>
      <c r="J130" s="34"/>
    </row>
    <row r="131" spans="1:10" ht="31.5" x14ac:dyDescent="0.25">
      <c r="A131" s="30"/>
      <c r="B131" s="31">
        <v>2913</v>
      </c>
      <c r="C131" s="3" t="s">
        <v>122</v>
      </c>
      <c r="D131" s="3" t="s">
        <v>99</v>
      </c>
      <c r="E131" s="29">
        <v>5</v>
      </c>
      <c r="F131" s="29">
        <v>18000</v>
      </c>
      <c r="G131" s="29">
        <f t="shared" si="2"/>
        <v>90000</v>
      </c>
      <c r="H131" s="31"/>
      <c r="I131" s="31"/>
      <c r="J131" s="34"/>
    </row>
    <row r="132" spans="1:10" ht="31.5" x14ac:dyDescent="0.25">
      <c r="A132" s="36"/>
      <c r="B132" s="31">
        <v>2913</v>
      </c>
      <c r="C132" s="3" t="s">
        <v>122</v>
      </c>
      <c r="D132" s="39" t="s">
        <v>103</v>
      </c>
      <c r="E132" s="34">
        <v>11</v>
      </c>
      <c r="F132" s="34">
        <v>300</v>
      </c>
      <c r="G132" s="34">
        <f>E132*F132</f>
        <v>3300</v>
      </c>
      <c r="H132" s="39"/>
      <c r="I132" s="39"/>
      <c r="J132" s="34"/>
    </row>
    <row r="133" spans="1:10" ht="31.5" x14ac:dyDescent="0.25">
      <c r="A133" s="30"/>
      <c r="B133" s="31">
        <v>2914</v>
      </c>
      <c r="C133" s="3" t="s">
        <v>72</v>
      </c>
      <c r="D133" s="3" t="s">
        <v>99</v>
      </c>
      <c r="E133" s="29">
        <v>1</v>
      </c>
      <c r="F133" s="29">
        <v>18000</v>
      </c>
      <c r="G133" s="29">
        <f t="shared" ref="G133:G161" si="3">E133*F133</f>
        <v>18000</v>
      </c>
      <c r="H133" s="31"/>
      <c r="I133" s="31"/>
      <c r="J133" s="34"/>
    </row>
    <row r="134" spans="1:10" ht="31.5" x14ac:dyDescent="0.25">
      <c r="A134" s="41">
        <v>45915</v>
      </c>
      <c r="B134" s="31">
        <v>2915</v>
      </c>
      <c r="C134" s="3" t="s">
        <v>69</v>
      </c>
      <c r="D134" s="3" t="s">
        <v>97</v>
      </c>
      <c r="E134" s="29">
        <v>1</v>
      </c>
      <c r="F134" s="29">
        <v>20000</v>
      </c>
      <c r="G134" s="29">
        <f t="shared" si="3"/>
        <v>20000</v>
      </c>
      <c r="H134" s="31"/>
      <c r="I134" s="31"/>
      <c r="J134" s="34"/>
    </row>
    <row r="135" spans="1:10" ht="31.5" x14ac:dyDescent="0.25">
      <c r="A135" s="30"/>
      <c r="B135" s="31">
        <v>2915</v>
      </c>
      <c r="C135" s="3" t="s">
        <v>69</v>
      </c>
      <c r="D135" s="3" t="s">
        <v>105</v>
      </c>
      <c r="E135" s="29">
        <v>1</v>
      </c>
      <c r="F135" s="29">
        <v>20000</v>
      </c>
      <c r="G135" s="29">
        <f t="shared" si="3"/>
        <v>20000</v>
      </c>
      <c r="H135" s="31"/>
      <c r="I135" s="31"/>
      <c r="J135" s="34"/>
    </row>
    <row r="136" spans="1:10" ht="31.5" x14ac:dyDescent="0.25">
      <c r="A136" s="30"/>
      <c r="B136" s="31">
        <v>2916</v>
      </c>
      <c r="C136" s="3" t="s">
        <v>63</v>
      </c>
      <c r="D136" s="3" t="s">
        <v>98</v>
      </c>
      <c r="E136" s="29">
        <v>200</v>
      </c>
      <c r="F136" s="29">
        <v>25000</v>
      </c>
      <c r="G136" s="29">
        <f t="shared" si="3"/>
        <v>5000000</v>
      </c>
      <c r="H136" s="31"/>
      <c r="I136" s="31"/>
      <c r="J136" s="34"/>
    </row>
    <row r="137" spans="1:10" ht="31.5" x14ac:dyDescent="0.25">
      <c r="A137" s="30"/>
      <c r="B137" s="31">
        <v>2916</v>
      </c>
      <c r="C137" s="3" t="s">
        <v>63</v>
      </c>
      <c r="D137" s="3" t="s">
        <v>105</v>
      </c>
      <c r="E137" s="29">
        <v>25</v>
      </c>
      <c r="F137" s="29">
        <v>19500</v>
      </c>
      <c r="G137" s="29">
        <f t="shared" si="3"/>
        <v>487500</v>
      </c>
      <c r="H137" s="31"/>
      <c r="I137" s="31"/>
      <c r="J137" s="34"/>
    </row>
    <row r="138" spans="1:10" ht="31.5" x14ac:dyDescent="0.25">
      <c r="A138" s="30"/>
      <c r="B138" s="31">
        <v>2917</v>
      </c>
      <c r="C138" s="3" t="s">
        <v>150</v>
      </c>
      <c r="D138" s="3" t="s">
        <v>98</v>
      </c>
      <c r="E138" s="29">
        <v>2</v>
      </c>
      <c r="F138" s="29">
        <v>26000</v>
      </c>
      <c r="G138" s="29">
        <f t="shared" si="3"/>
        <v>52000</v>
      </c>
      <c r="H138" s="31"/>
      <c r="I138" s="31"/>
      <c r="J138" s="34"/>
    </row>
    <row r="139" spans="1:10" ht="31.5" x14ac:dyDescent="0.25">
      <c r="A139" s="30"/>
      <c r="B139" s="31">
        <v>2917</v>
      </c>
      <c r="C139" s="3" t="s">
        <v>150</v>
      </c>
      <c r="D139" s="3" t="s">
        <v>102</v>
      </c>
      <c r="E139" s="29">
        <v>2</v>
      </c>
      <c r="F139" s="29">
        <v>7000</v>
      </c>
      <c r="G139" s="29">
        <f t="shared" si="3"/>
        <v>14000</v>
      </c>
      <c r="H139" s="31"/>
      <c r="I139" s="31"/>
      <c r="J139" s="34"/>
    </row>
    <row r="140" spans="1:10" ht="31.5" x14ac:dyDescent="0.25">
      <c r="A140" s="30"/>
      <c r="B140" s="31">
        <v>2917</v>
      </c>
      <c r="C140" s="3" t="s">
        <v>150</v>
      </c>
      <c r="D140" s="3" t="s">
        <v>99</v>
      </c>
      <c r="E140" s="29">
        <v>4</v>
      </c>
      <c r="F140" s="29">
        <v>18000</v>
      </c>
      <c r="G140" s="29">
        <f t="shared" si="3"/>
        <v>72000</v>
      </c>
      <c r="H140" s="31"/>
      <c r="I140" s="31"/>
      <c r="J140" s="34"/>
    </row>
    <row r="141" spans="1:10" ht="31.5" x14ac:dyDescent="0.25">
      <c r="A141" s="30"/>
      <c r="B141" s="31">
        <v>2917</v>
      </c>
      <c r="C141" s="3" t="s">
        <v>150</v>
      </c>
      <c r="D141" s="3" t="s">
        <v>103</v>
      </c>
      <c r="E141" s="29">
        <v>18</v>
      </c>
      <c r="F141" s="29">
        <v>300</v>
      </c>
      <c r="G141" s="29">
        <f t="shared" si="3"/>
        <v>5400</v>
      </c>
      <c r="H141" s="31"/>
      <c r="I141" s="31"/>
      <c r="J141" s="34"/>
    </row>
    <row r="142" spans="1:10" ht="31.5" x14ac:dyDescent="0.25">
      <c r="A142" s="30"/>
      <c r="B142" s="31">
        <v>2917</v>
      </c>
      <c r="C142" s="3" t="s">
        <v>150</v>
      </c>
      <c r="D142" s="3" t="s">
        <v>105</v>
      </c>
      <c r="E142" s="29">
        <v>3</v>
      </c>
      <c r="F142" s="29">
        <v>20000</v>
      </c>
      <c r="G142" s="29">
        <f t="shared" si="3"/>
        <v>60000</v>
      </c>
      <c r="H142" s="31"/>
      <c r="I142" s="31"/>
      <c r="J142" s="34"/>
    </row>
    <row r="143" spans="1:10" ht="31.5" x14ac:dyDescent="0.25">
      <c r="A143" s="30"/>
      <c r="B143" s="31">
        <v>2917</v>
      </c>
      <c r="C143" s="3" t="s">
        <v>150</v>
      </c>
      <c r="D143" s="3" t="s">
        <v>105</v>
      </c>
      <c r="E143" s="29">
        <v>2</v>
      </c>
      <c r="F143" s="29">
        <v>20250</v>
      </c>
      <c r="G143" s="29">
        <f t="shared" si="3"/>
        <v>40500</v>
      </c>
      <c r="H143" s="31"/>
      <c r="I143" s="31"/>
      <c r="J143" s="34"/>
    </row>
    <row r="144" spans="1:10" ht="31.5" x14ac:dyDescent="0.25">
      <c r="A144" s="30"/>
      <c r="B144" s="31">
        <v>2917</v>
      </c>
      <c r="C144" s="3" t="s">
        <v>150</v>
      </c>
      <c r="D144" s="3" t="s">
        <v>101</v>
      </c>
      <c r="E144" s="29">
        <v>4</v>
      </c>
      <c r="F144" s="29">
        <v>1350</v>
      </c>
      <c r="G144" s="29">
        <f t="shared" si="3"/>
        <v>5400</v>
      </c>
      <c r="H144" s="31"/>
      <c r="I144" s="31"/>
      <c r="J144" s="34"/>
    </row>
    <row r="145" spans="1:10" ht="31.5" x14ac:dyDescent="0.25">
      <c r="A145" s="30"/>
      <c r="B145" s="31">
        <v>2918</v>
      </c>
      <c r="C145" s="3" t="s">
        <v>76</v>
      </c>
      <c r="D145" s="3" t="s">
        <v>98</v>
      </c>
      <c r="E145" s="29">
        <v>200</v>
      </c>
      <c r="F145" s="29">
        <v>25000</v>
      </c>
      <c r="G145" s="29">
        <f t="shared" si="3"/>
        <v>5000000</v>
      </c>
      <c r="H145" s="31"/>
      <c r="I145" s="31"/>
      <c r="J145" s="34"/>
    </row>
    <row r="146" spans="1:10" ht="31.5" x14ac:dyDescent="0.25">
      <c r="A146" s="30"/>
      <c r="B146" s="31">
        <v>2919</v>
      </c>
      <c r="C146" s="3" t="s">
        <v>69</v>
      </c>
      <c r="D146" s="3" t="s">
        <v>98</v>
      </c>
      <c r="E146" s="29">
        <v>1</v>
      </c>
      <c r="F146" s="29">
        <v>26000</v>
      </c>
      <c r="G146" s="29">
        <f t="shared" si="3"/>
        <v>26000</v>
      </c>
      <c r="H146" s="31"/>
      <c r="I146" s="31"/>
      <c r="J146" s="34"/>
    </row>
    <row r="147" spans="1:10" ht="31.5" x14ac:dyDescent="0.25">
      <c r="A147" s="30"/>
      <c r="B147" s="31">
        <v>2920</v>
      </c>
      <c r="C147" s="3" t="s">
        <v>89</v>
      </c>
      <c r="D147" s="3" t="s">
        <v>98</v>
      </c>
      <c r="E147" s="29">
        <v>200</v>
      </c>
      <c r="F147" s="29">
        <v>25000</v>
      </c>
      <c r="G147" s="29">
        <f t="shared" si="3"/>
        <v>5000000</v>
      </c>
      <c r="H147" s="31"/>
      <c r="I147" s="31"/>
      <c r="J147" s="34"/>
    </row>
    <row r="148" spans="1:10" ht="31.5" x14ac:dyDescent="0.25">
      <c r="A148" s="41">
        <v>45916</v>
      </c>
      <c r="B148" s="31">
        <v>2921</v>
      </c>
      <c r="C148" s="3" t="s">
        <v>66</v>
      </c>
      <c r="D148" s="3" t="s">
        <v>98</v>
      </c>
      <c r="E148" s="29">
        <v>200</v>
      </c>
      <c r="F148" s="29">
        <v>25000</v>
      </c>
      <c r="G148" s="29">
        <f t="shared" si="3"/>
        <v>5000000</v>
      </c>
      <c r="H148" s="31"/>
      <c r="I148" s="31"/>
      <c r="J148" s="34"/>
    </row>
    <row r="149" spans="1:10" ht="31.5" x14ac:dyDescent="0.25">
      <c r="A149" s="30"/>
      <c r="B149" s="31">
        <v>2922</v>
      </c>
      <c r="C149" s="3" t="s">
        <v>72</v>
      </c>
      <c r="D149" s="3" t="s">
        <v>105</v>
      </c>
      <c r="E149" s="29">
        <v>2</v>
      </c>
      <c r="F149" s="29">
        <v>20000</v>
      </c>
      <c r="G149" s="29">
        <f t="shared" si="3"/>
        <v>40000</v>
      </c>
      <c r="H149" s="31"/>
      <c r="I149" s="31"/>
      <c r="J149" s="34"/>
    </row>
    <row r="150" spans="1:10" ht="31.5" x14ac:dyDescent="0.25">
      <c r="A150" s="30"/>
      <c r="B150" s="31">
        <v>2923</v>
      </c>
      <c r="C150" s="3" t="s">
        <v>96</v>
      </c>
      <c r="D150" s="3" t="s">
        <v>98</v>
      </c>
      <c r="E150" s="29">
        <v>50</v>
      </c>
      <c r="F150" s="29">
        <v>25500</v>
      </c>
      <c r="G150" s="29">
        <f t="shared" si="3"/>
        <v>1275000</v>
      </c>
      <c r="H150" s="31"/>
      <c r="I150" s="31"/>
      <c r="J150" s="34"/>
    </row>
    <row r="151" spans="1:10" ht="31.5" x14ac:dyDescent="0.25">
      <c r="A151" s="30"/>
      <c r="B151" s="31">
        <v>2924</v>
      </c>
      <c r="C151" s="3" t="s">
        <v>78</v>
      </c>
      <c r="D151" s="3" t="s">
        <v>105</v>
      </c>
      <c r="E151" s="29">
        <v>50</v>
      </c>
      <c r="F151" s="29">
        <v>19500</v>
      </c>
      <c r="G151" s="29">
        <f t="shared" si="3"/>
        <v>975000</v>
      </c>
      <c r="H151" s="31"/>
      <c r="I151" s="31"/>
      <c r="J151" s="34"/>
    </row>
    <row r="152" spans="1:10" ht="31.5" x14ac:dyDescent="0.25">
      <c r="A152" s="30"/>
      <c r="B152" s="31">
        <v>2925</v>
      </c>
      <c r="C152" s="3" t="s">
        <v>90</v>
      </c>
      <c r="D152" s="3" t="s">
        <v>98</v>
      </c>
      <c r="E152" s="29">
        <v>10</v>
      </c>
      <c r="F152" s="29">
        <v>26000</v>
      </c>
      <c r="G152" s="29">
        <f t="shared" si="3"/>
        <v>260000</v>
      </c>
      <c r="H152" s="31"/>
      <c r="I152" s="31"/>
      <c r="J152" s="34"/>
    </row>
    <row r="153" spans="1:10" ht="31.5" x14ac:dyDescent="0.25">
      <c r="A153" s="30"/>
      <c r="B153" s="31">
        <v>2926</v>
      </c>
      <c r="C153" s="3" t="s">
        <v>72</v>
      </c>
      <c r="D153" s="3" t="s">
        <v>97</v>
      </c>
      <c r="E153" s="29">
        <v>2</v>
      </c>
      <c r="F153" s="29">
        <v>20000</v>
      </c>
      <c r="G153" s="29">
        <f t="shared" si="3"/>
        <v>40000</v>
      </c>
      <c r="H153" s="31"/>
      <c r="I153" s="31"/>
      <c r="J153" s="34"/>
    </row>
    <row r="154" spans="1:10" ht="31.5" x14ac:dyDescent="0.25">
      <c r="A154" s="30"/>
      <c r="B154" s="31">
        <v>2927</v>
      </c>
      <c r="C154" s="3" t="s">
        <v>61</v>
      </c>
      <c r="D154" s="3" t="s">
        <v>98</v>
      </c>
      <c r="E154" s="29">
        <v>250</v>
      </c>
      <c r="F154" s="29">
        <v>25000</v>
      </c>
      <c r="G154" s="29">
        <f t="shared" si="3"/>
        <v>6250000</v>
      </c>
      <c r="H154" s="31"/>
      <c r="I154" s="31"/>
      <c r="J154" s="34"/>
    </row>
    <row r="155" spans="1:10" ht="31.5" x14ac:dyDescent="0.25">
      <c r="A155" s="30"/>
      <c r="B155" s="31">
        <v>2927</v>
      </c>
      <c r="C155" s="3" t="s">
        <v>61</v>
      </c>
      <c r="D155" s="3" t="s">
        <v>97</v>
      </c>
      <c r="E155" s="29">
        <v>15</v>
      </c>
      <c r="F155" s="29">
        <v>19500</v>
      </c>
      <c r="G155" s="29">
        <f t="shared" si="3"/>
        <v>292500</v>
      </c>
      <c r="H155" s="31"/>
      <c r="I155" s="31"/>
      <c r="J155" s="34"/>
    </row>
    <row r="156" spans="1:10" ht="31.5" x14ac:dyDescent="0.25">
      <c r="A156" s="41">
        <v>45917</v>
      </c>
      <c r="B156" s="31">
        <v>2928</v>
      </c>
      <c r="C156" s="3" t="s">
        <v>62</v>
      </c>
      <c r="D156" s="3" t="s">
        <v>98</v>
      </c>
      <c r="E156" s="29">
        <v>200</v>
      </c>
      <c r="F156" s="29">
        <v>25000</v>
      </c>
      <c r="G156" s="29">
        <f t="shared" si="3"/>
        <v>5000000</v>
      </c>
      <c r="H156" s="31"/>
      <c r="I156" s="31"/>
      <c r="J156" s="34"/>
    </row>
    <row r="157" spans="1:10" x14ac:dyDescent="0.25">
      <c r="A157" s="30"/>
      <c r="B157" s="31">
        <v>2929</v>
      </c>
      <c r="C157" s="3" t="s">
        <v>69</v>
      </c>
      <c r="D157" s="3" t="s">
        <v>102</v>
      </c>
      <c r="E157" s="29">
        <v>1</v>
      </c>
      <c r="F157" s="29">
        <v>7000</v>
      </c>
      <c r="G157" s="29">
        <f t="shared" si="3"/>
        <v>7000</v>
      </c>
      <c r="H157" s="31"/>
      <c r="I157" s="31"/>
      <c r="J157" s="34"/>
    </row>
    <row r="158" spans="1:10" ht="31.5" x14ac:dyDescent="0.25">
      <c r="A158" s="41">
        <v>45918</v>
      </c>
      <c r="B158" s="31">
        <v>2930</v>
      </c>
      <c r="C158" s="3" t="s">
        <v>72</v>
      </c>
      <c r="D158" s="3" t="s">
        <v>105</v>
      </c>
      <c r="E158" s="29">
        <v>8</v>
      </c>
      <c r="F158" s="29">
        <v>20000</v>
      </c>
      <c r="G158" s="29">
        <f t="shared" si="3"/>
        <v>160000</v>
      </c>
      <c r="H158" s="31"/>
      <c r="I158" s="31"/>
      <c r="J158" s="34"/>
    </row>
    <row r="159" spans="1:10" ht="31.5" x14ac:dyDescent="0.25">
      <c r="A159" s="30"/>
      <c r="B159" s="31">
        <v>2930</v>
      </c>
      <c r="C159" s="3" t="s">
        <v>72</v>
      </c>
      <c r="D159" s="3" t="s">
        <v>97</v>
      </c>
      <c r="E159" s="29">
        <v>2</v>
      </c>
      <c r="F159" s="29">
        <v>20000</v>
      </c>
      <c r="G159" s="29">
        <f t="shared" si="3"/>
        <v>40000</v>
      </c>
      <c r="H159" s="31"/>
      <c r="I159" s="31"/>
      <c r="J159" s="34"/>
    </row>
    <row r="160" spans="1:10" ht="31.5" x14ac:dyDescent="0.25">
      <c r="A160" s="30"/>
      <c r="B160" s="31">
        <v>2931</v>
      </c>
      <c r="C160" s="3" t="s">
        <v>63</v>
      </c>
      <c r="D160" s="3" t="s">
        <v>98</v>
      </c>
      <c r="E160" s="29">
        <v>100</v>
      </c>
      <c r="F160" s="29">
        <v>25000</v>
      </c>
      <c r="G160" s="29">
        <f t="shared" si="3"/>
        <v>2500000</v>
      </c>
      <c r="H160" s="31"/>
      <c r="I160" s="31"/>
      <c r="J160" s="34"/>
    </row>
    <row r="161" spans="1:10" ht="31.5" x14ac:dyDescent="0.25">
      <c r="A161" s="30"/>
      <c r="B161" s="31">
        <v>2931</v>
      </c>
      <c r="C161" s="3" t="s">
        <v>63</v>
      </c>
      <c r="D161" s="3" t="s">
        <v>97</v>
      </c>
      <c r="E161" s="29">
        <v>20</v>
      </c>
      <c r="F161" s="29">
        <v>19500</v>
      </c>
      <c r="G161" s="29">
        <f t="shared" si="3"/>
        <v>390000</v>
      </c>
      <c r="H161" s="31"/>
      <c r="I161" s="31"/>
      <c r="J161" s="34"/>
    </row>
    <row r="162" spans="1:10" ht="31.5" x14ac:dyDescent="0.25">
      <c r="A162" s="30"/>
      <c r="B162" s="31">
        <v>2931</v>
      </c>
      <c r="C162" s="3" t="s">
        <v>63</v>
      </c>
      <c r="D162" s="3" t="s">
        <v>105</v>
      </c>
      <c r="E162" s="29">
        <v>20</v>
      </c>
      <c r="F162" s="29">
        <v>19500</v>
      </c>
      <c r="G162" s="29">
        <f t="shared" ref="G162:G191" si="4">E162*F162</f>
        <v>390000</v>
      </c>
      <c r="H162" s="31"/>
      <c r="I162" s="31"/>
      <c r="J162" s="34"/>
    </row>
    <row r="163" spans="1:10" ht="31.5" x14ac:dyDescent="0.25">
      <c r="A163" s="30"/>
      <c r="B163" s="31">
        <v>2932</v>
      </c>
      <c r="C163" s="3" t="s">
        <v>69</v>
      </c>
      <c r="D163" s="3" t="s">
        <v>99</v>
      </c>
      <c r="E163" s="29">
        <v>1</v>
      </c>
      <c r="F163" s="29">
        <v>18000</v>
      </c>
      <c r="G163" s="29">
        <f t="shared" si="4"/>
        <v>18000</v>
      </c>
      <c r="H163" s="31"/>
      <c r="I163" s="31"/>
      <c r="J163" s="34"/>
    </row>
    <row r="164" spans="1:10" ht="31.5" x14ac:dyDescent="0.25">
      <c r="A164" s="30"/>
      <c r="B164" s="31">
        <v>2933</v>
      </c>
      <c r="C164" s="3" t="s">
        <v>152</v>
      </c>
      <c r="D164" s="3" t="s">
        <v>98</v>
      </c>
      <c r="E164" s="29">
        <v>50</v>
      </c>
      <c r="F164" s="29">
        <v>26000</v>
      </c>
      <c r="G164" s="29">
        <f t="shared" si="4"/>
        <v>1300000</v>
      </c>
      <c r="H164" s="31"/>
      <c r="I164" s="31"/>
      <c r="J164" s="34"/>
    </row>
    <row r="165" spans="1:10" ht="31.5" x14ac:dyDescent="0.25">
      <c r="A165" s="30"/>
      <c r="B165" s="31">
        <v>2933</v>
      </c>
      <c r="C165" s="3" t="s">
        <v>116</v>
      </c>
      <c r="D165" s="3" t="s">
        <v>98</v>
      </c>
      <c r="E165" s="29">
        <v>50</v>
      </c>
      <c r="F165" s="29">
        <v>26000</v>
      </c>
      <c r="G165" s="29">
        <f t="shared" si="4"/>
        <v>1300000</v>
      </c>
      <c r="H165" s="31"/>
      <c r="I165" s="31"/>
      <c r="J165" s="34"/>
    </row>
    <row r="166" spans="1:10" ht="31.5" x14ac:dyDescent="0.25">
      <c r="A166" s="30"/>
      <c r="B166" s="31">
        <v>2933</v>
      </c>
      <c r="C166" s="3" t="s">
        <v>115</v>
      </c>
      <c r="D166" s="3" t="s">
        <v>98</v>
      </c>
      <c r="E166" s="29">
        <v>18</v>
      </c>
      <c r="F166" s="29">
        <v>26000</v>
      </c>
      <c r="G166" s="29">
        <f t="shared" si="4"/>
        <v>468000</v>
      </c>
      <c r="H166" s="31"/>
      <c r="I166" s="31"/>
      <c r="J166" s="34"/>
    </row>
    <row r="167" spans="1:10" ht="31.5" x14ac:dyDescent="0.25">
      <c r="A167" s="30"/>
      <c r="B167" s="31">
        <v>2933</v>
      </c>
      <c r="C167" s="3" t="s">
        <v>153</v>
      </c>
      <c r="D167" s="3" t="s">
        <v>98</v>
      </c>
      <c r="E167" s="29">
        <v>9</v>
      </c>
      <c r="F167" s="29">
        <v>26000</v>
      </c>
      <c r="G167" s="29">
        <f t="shared" si="4"/>
        <v>234000</v>
      </c>
      <c r="H167" s="31"/>
      <c r="I167" s="31"/>
      <c r="J167" s="34"/>
    </row>
    <row r="168" spans="1:10" ht="31.5" x14ac:dyDescent="0.25">
      <c r="A168" s="30"/>
      <c r="B168" s="31">
        <v>2934</v>
      </c>
      <c r="C168" s="3" t="s">
        <v>85</v>
      </c>
      <c r="D168" s="3" t="s">
        <v>98</v>
      </c>
      <c r="E168" s="29">
        <v>100</v>
      </c>
      <c r="F168" s="29">
        <v>25000</v>
      </c>
      <c r="G168" s="29">
        <f t="shared" si="4"/>
        <v>2500000</v>
      </c>
      <c r="H168" s="31"/>
      <c r="I168" s="31"/>
      <c r="J168" s="34"/>
    </row>
    <row r="169" spans="1:10" ht="31.5" x14ac:dyDescent="0.25">
      <c r="A169" s="30"/>
      <c r="B169" s="31">
        <v>2935</v>
      </c>
      <c r="C169" s="3" t="s">
        <v>82</v>
      </c>
      <c r="D169" s="3" t="s">
        <v>98</v>
      </c>
      <c r="E169" s="29">
        <v>200</v>
      </c>
      <c r="F169" s="29">
        <v>25000</v>
      </c>
      <c r="G169" s="29">
        <f t="shared" si="4"/>
        <v>5000000</v>
      </c>
      <c r="H169" s="31"/>
      <c r="I169" s="31"/>
      <c r="J169" s="34"/>
    </row>
    <row r="170" spans="1:10" ht="31.5" x14ac:dyDescent="0.25">
      <c r="A170" s="30"/>
      <c r="B170" s="31">
        <v>2935</v>
      </c>
      <c r="C170" s="3" t="s">
        <v>82</v>
      </c>
      <c r="D170" s="3" t="s">
        <v>98</v>
      </c>
      <c r="E170" s="29">
        <v>25</v>
      </c>
      <c r="F170" s="29">
        <v>19500</v>
      </c>
      <c r="G170" s="29">
        <f t="shared" si="4"/>
        <v>487500</v>
      </c>
      <c r="H170" s="31"/>
      <c r="I170" s="31"/>
      <c r="J170" s="34"/>
    </row>
    <row r="171" spans="1:10" ht="31.5" x14ac:dyDescent="0.25">
      <c r="A171" s="30"/>
      <c r="B171" s="31">
        <v>2935</v>
      </c>
      <c r="C171" s="3" t="s">
        <v>82</v>
      </c>
      <c r="D171" s="3" t="s">
        <v>105</v>
      </c>
      <c r="E171" s="29">
        <v>25</v>
      </c>
      <c r="F171" s="29">
        <v>19500</v>
      </c>
      <c r="G171" s="29">
        <f t="shared" si="4"/>
        <v>487500</v>
      </c>
      <c r="H171" s="31"/>
      <c r="I171" s="31"/>
      <c r="J171" s="34"/>
    </row>
    <row r="172" spans="1:10" ht="31.5" x14ac:dyDescent="0.25">
      <c r="A172" s="41">
        <v>45919</v>
      </c>
      <c r="B172" s="31">
        <v>2936</v>
      </c>
      <c r="C172" s="3" t="s">
        <v>76</v>
      </c>
      <c r="D172" s="3" t="s">
        <v>98</v>
      </c>
      <c r="E172" s="29">
        <v>100</v>
      </c>
      <c r="F172" s="29">
        <v>25000</v>
      </c>
      <c r="G172" s="29">
        <f t="shared" si="4"/>
        <v>2500000</v>
      </c>
      <c r="H172" s="31"/>
      <c r="I172" s="31"/>
      <c r="J172" s="34"/>
    </row>
    <row r="173" spans="1:10" ht="31.5" x14ac:dyDescent="0.25">
      <c r="A173" s="30"/>
      <c r="B173" s="31">
        <v>2937</v>
      </c>
      <c r="C173" s="3" t="s">
        <v>69</v>
      </c>
      <c r="D173" s="3" t="s">
        <v>99</v>
      </c>
      <c r="E173" s="29">
        <v>1</v>
      </c>
      <c r="F173" s="29">
        <v>18000</v>
      </c>
      <c r="G173" s="29">
        <f t="shared" si="4"/>
        <v>18000</v>
      </c>
      <c r="H173" s="31"/>
      <c r="I173" s="31"/>
      <c r="J173" s="34"/>
    </row>
    <row r="174" spans="1:10" ht="31.5" x14ac:dyDescent="0.25">
      <c r="A174" s="30"/>
      <c r="B174" s="31">
        <v>2937</v>
      </c>
      <c r="C174" s="3" t="s">
        <v>69</v>
      </c>
      <c r="D174" s="3" t="s">
        <v>98</v>
      </c>
      <c r="E174" s="29">
        <v>1</v>
      </c>
      <c r="F174" s="29">
        <v>26000</v>
      </c>
      <c r="G174" s="29">
        <f t="shared" si="4"/>
        <v>26000</v>
      </c>
      <c r="H174" s="31"/>
      <c r="I174" s="31"/>
      <c r="J174" s="34"/>
    </row>
    <row r="175" spans="1:10" ht="31.5" x14ac:dyDescent="0.25">
      <c r="A175" s="30"/>
      <c r="B175" s="31">
        <v>2938</v>
      </c>
      <c r="C175" s="3" t="s">
        <v>66</v>
      </c>
      <c r="D175" s="3" t="s">
        <v>98</v>
      </c>
      <c r="E175" s="29">
        <v>50</v>
      </c>
      <c r="F175" s="29">
        <v>25000</v>
      </c>
      <c r="G175" s="29">
        <f t="shared" si="4"/>
        <v>1250000</v>
      </c>
      <c r="H175" s="31"/>
      <c r="I175" s="31"/>
      <c r="J175" s="34"/>
    </row>
    <row r="176" spans="1:10" ht="31.5" x14ac:dyDescent="0.25">
      <c r="A176" s="41">
        <v>45920</v>
      </c>
      <c r="B176" s="31">
        <v>2939</v>
      </c>
      <c r="C176" s="3" t="s">
        <v>66</v>
      </c>
      <c r="D176" s="3" t="s">
        <v>98</v>
      </c>
      <c r="E176" s="29">
        <v>200</v>
      </c>
      <c r="F176" s="29">
        <v>25000</v>
      </c>
      <c r="G176" s="29">
        <f t="shared" si="4"/>
        <v>5000000</v>
      </c>
      <c r="H176" s="31"/>
      <c r="I176" s="31"/>
      <c r="J176" s="34"/>
    </row>
    <row r="177" spans="1:10" ht="31.5" x14ac:dyDescent="0.25">
      <c r="A177" s="41">
        <v>45922</v>
      </c>
      <c r="B177" s="31">
        <v>2940</v>
      </c>
      <c r="C177" s="3" t="s">
        <v>79</v>
      </c>
      <c r="D177" s="3" t="s">
        <v>98</v>
      </c>
      <c r="E177" s="29">
        <v>250</v>
      </c>
      <c r="F177" s="29">
        <v>25000</v>
      </c>
      <c r="G177" s="29">
        <f t="shared" si="4"/>
        <v>6250000</v>
      </c>
      <c r="H177" s="31"/>
      <c r="I177" s="31"/>
      <c r="J177" s="34"/>
    </row>
    <row r="178" spans="1:10" ht="31.5" x14ac:dyDescent="0.25">
      <c r="A178" s="30"/>
      <c r="B178" s="31">
        <v>2941</v>
      </c>
      <c r="C178" s="3" t="s">
        <v>69</v>
      </c>
      <c r="D178" s="3" t="s">
        <v>98</v>
      </c>
      <c r="E178" s="29">
        <v>1</v>
      </c>
      <c r="F178" s="29">
        <v>26000</v>
      </c>
      <c r="G178" s="29">
        <f t="shared" si="4"/>
        <v>26000</v>
      </c>
      <c r="H178" s="31"/>
      <c r="I178" s="31"/>
      <c r="J178" s="34"/>
    </row>
    <row r="179" spans="1:10" ht="31.5" x14ac:dyDescent="0.25">
      <c r="A179" s="30"/>
      <c r="B179" s="31">
        <v>2942</v>
      </c>
      <c r="C179" s="3" t="s">
        <v>122</v>
      </c>
      <c r="D179" s="3" t="s">
        <v>98</v>
      </c>
      <c r="E179" s="29">
        <v>1</v>
      </c>
      <c r="F179" s="29">
        <v>26000</v>
      </c>
      <c r="G179" s="29">
        <f t="shared" si="4"/>
        <v>26000</v>
      </c>
      <c r="H179" s="31"/>
      <c r="I179" s="31"/>
      <c r="J179" s="34"/>
    </row>
    <row r="180" spans="1:10" ht="31.5" x14ac:dyDescent="0.25">
      <c r="A180" s="30"/>
      <c r="B180" s="31">
        <v>2942</v>
      </c>
      <c r="C180" s="3" t="s">
        <v>122</v>
      </c>
      <c r="D180" s="3" t="s">
        <v>105</v>
      </c>
      <c r="E180" s="29">
        <v>3</v>
      </c>
      <c r="F180" s="29">
        <v>20250</v>
      </c>
      <c r="G180" s="29">
        <f t="shared" si="4"/>
        <v>60750</v>
      </c>
      <c r="H180" s="31"/>
      <c r="I180" s="31"/>
      <c r="J180" s="34"/>
    </row>
    <row r="181" spans="1:10" ht="31.5" x14ac:dyDescent="0.25">
      <c r="A181" s="30"/>
      <c r="B181" s="31">
        <v>2942</v>
      </c>
      <c r="C181" s="3" t="s">
        <v>122</v>
      </c>
      <c r="D181" s="3" t="s">
        <v>101</v>
      </c>
      <c r="E181" s="29">
        <v>6</v>
      </c>
      <c r="F181" s="29">
        <v>1350</v>
      </c>
      <c r="G181" s="29">
        <f t="shared" si="4"/>
        <v>8100</v>
      </c>
      <c r="H181" s="31"/>
      <c r="I181" s="31"/>
      <c r="J181" s="34"/>
    </row>
    <row r="182" spans="1:10" ht="31.5" x14ac:dyDescent="0.25">
      <c r="A182" s="36"/>
      <c r="B182" s="31">
        <v>2942</v>
      </c>
      <c r="C182" s="3" t="s">
        <v>122</v>
      </c>
      <c r="D182" s="39" t="s">
        <v>97</v>
      </c>
      <c r="E182" s="34">
        <v>1</v>
      </c>
      <c r="F182" s="34">
        <v>21000</v>
      </c>
      <c r="G182" s="34">
        <f>E182*F182</f>
        <v>21000</v>
      </c>
      <c r="H182" s="39"/>
      <c r="I182" s="39"/>
      <c r="J182" s="34"/>
    </row>
    <row r="183" spans="1:10" ht="31.5" x14ac:dyDescent="0.25">
      <c r="A183" s="36"/>
      <c r="B183" s="31">
        <v>2942</v>
      </c>
      <c r="C183" s="3" t="s">
        <v>122</v>
      </c>
      <c r="D183" s="39" t="s">
        <v>97</v>
      </c>
      <c r="E183" s="34">
        <v>2</v>
      </c>
      <c r="F183" s="34">
        <v>20000</v>
      </c>
      <c r="G183" s="34">
        <f>E183*F183</f>
        <v>40000</v>
      </c>
      <c r="H183" s="34"/>
      <c r="I183" s="39"/>
      <c r="J183" s="34"/>
    </row>
    <row r="184" spans="1:10" ht="31.5" x14ac:dyDescent="0.25">
      <c r="A184" s="36"/>
      <c r="B184" s="31">
        <v>2942</v>
      </c>
      <c r="C184" s="3" t="s">
        <v>122</v>
      </c>
      <c r="D184" s="39" t="s">
        <v>99</v>
      </c>
      <c r="E184" s="34">
        <v>3</v>
      </c>
      <c r="F184" s="34">
        <v>18000</v>
      </c>
      <c r="G184" s="34">
        <f>E184*F184</f>
        <v>54000</v>
      </c>
      <c r="H184" s="39"/>
      <c r="I184" s="39"/>
      <c r="J184" s="34"/>
    </row>
    <row r="185" spans="1:10" ht="31.5" x14ac:dyDescent="0.25">
      <c r="A185" s="30"/>
      <c r="B185" s="31">
        <v>2942</v>
      </c>
      <c r="C185" s="3" t="s">
        <v>122</v>
      </c>
      <c r="D185" s="3" t="s">
        <v>103</v>
      </c>
      <c r="E185" s="29">
        <v>34</v>
      </c>
      <c r="F185" s="29">
        <v>300</v>
      </c>
      <c r="G185" s="29">
        <f t="shared" si="4"/>
        <v>10200</v>
      </c>
      <c r="H185" s="31"/>
      <c r="I185" s="31"/>
      <c r="J185" s="34"/>
    </row>
    <row r="186" spans="1:10" ht="31.5" x14ac:dyDescent="0.25">
      <c r="A186" s="30"/>
      <c r="B186" s="31">
        <v>2943</v>
      </c>
      <c r="C186" s="3" t="s">
        <v>71</v>
      </c>
      <c r="D186" s="3" t="s">
        <v>98</v>
      </c>
      <c r="E186" s="29">
        <v>100</v>
      </c>
      <c r="F186" s="29">
        <v>25400</v>
      </c>
      <c r="G186" s="29">
        <f t="shared" si="4"/>
        <v>2540000</v>
      </c>
      <c r="H186" s="31"/>
      <c r="I186" s="31"/>
      <c r="J186" s="34"/>
    </row>
    <row r="187" spans="1:10" ht="31.5" x14ac:dyDescent="0.25">
      <c r="A187" s="30"/>
      <c r="B187" s="31">
        <v>2944</v>
      </c>
      <c r="C187" s="3" t="s">
        <v>69</v>
      </c>
      <c r="D187" s="3" t="s">
        <v>98</v>
      </c>
      <c r="E187" s="29">
        <v>1</v>
      </c>
      <c r="F187" s="29">
        <v>26000</v>
      </c>
      <c r="G187" s="29">
        <f t="shared" si="4"/>
        <v>26000</v>
      </c>
      <c r="H187" s="31"/>
      <c r="I187" s="31"/>
      <c r="J187" s="34"/>
    </row>
    <row r="188" spans="1:10" x14ac:dyDescent="0.25">
      <c r="A188" s="30"/>
      <c r="B188" s="31">
        <v>2945</v>
      </c>
      <c r="C188" s="3" t="s">
        <v>72</v>
      </c>
      <c r="D188" s="3" t="s">
        <v>101</v>
      </c>
      <c r="E188" s="29">
        <v>4</v>
      </c>
      <c r="F188" s="29">
        <v>1350</v>
      </c>
      <c r="G188" s="29">
        <f t="shared" si="4"/>
        <v>5400</v>
      </c>
      <c r="H188" s="31"/>
      <c r="I188" s="31"/>
      <c r="J188" s="34"/>
    </row>
    <row r="189" spans="1:10" ht="31.5" x14ac:dyDescent="0.25">
      <c r="A189" s="41">
        <v>45831</v>
      </c>
      <c r="B189" s="31">
        <v>2946</v>
      </c>
      <c r="C189" s="3" t="s">
        <v>63</v>
      </c>
      <c r="D189" s="3" t="s">
        <v>98</v>
      </c>
      <c r="E189" s="29">
        <v>200</v>
      </c>
      <c r="F189" s="29">
        <v>25000</v>
      </c>
      <c r="G189" s="29">
        <f t="shared" si="4"/>
        <v>5000000</v>
      </c>
      <c r="H189" s="31"/>
      <c r="I189" s="31"/>
      <c r="J189" s="34"/>
    </row>
    <row r="190" spans="1:10" ht="31.5" x14ac:dyDescent="0.25">
      <c r="A190" s="30"/>
      <c r="B190" s="31">
        <v>2947</v>
      </c>
      <c r="C190" s="3" t="s">
        <v>62</v>
      </c>
      <c r="D190" s="3" t="s">
        <v>98</v>
      </c>
      <c r="E190" s="29">
        <v>200</v>
      </c>
      <c r="F190" s="29">
        <v>25000</v>
      </c>
      <c r="G190" s="29">
        <f t="shared" si="4"/>
        <v>5000000</v>
      </c>
      <c r="H190" s="31"/>
      <c r="I190" s="31"/>
      <c r="J190" s="34"/>
    </row>
    <row r="191" spans="1:10" ht="31.5" x14ac:dyDescent="0.25">
      <c r="A191" s="30"/>
      <c r="B191" s="31">
        <v>2948</v>
      </c>
      <c r="C191" s="3" t="s">
        <v>72</v>
      </c>
      <c r="D191" s="3" t="s">
        <v>105</v>
      </c>
      <c r="E191" s="29">
        <v>2</v>
      </c>
      <c r="F191" s="29">
        <v>20000</v>
      </c>
      <c r="G191" s="29">
        <f t="shared" si="4"/>
        <v>40000</v>
      </c>
      <c r="H191" s="31"/>
      <c r="I191" s="31"/>
      <c r="J191" s="34"/>
    </row>
    <row r="192" spans="1:10" ht="31.5" x14ac:dyDescent="0.25">
      <c r="A192" s="30"/>
      <c r="B192" s="31">
        <v>2949</v>
      </c>
      <c r="C192" s="3" t="s">
        <v>89</v>
      </c>
      <c r="D192" s="3" t="s">
        <v>98</v>
      </c>
      <c r="E192" s="29">
        <v>300</v>
      </c>
      <c r="F192" s="29">
        <v>25000</v>
      </c>
      <c r="G192" s="29">
        <f t="shared" ref="G192:G222" si="5">E192*F192</f>
        <v>7500000</v>
      </c>
      <c r="H192" s="31"/>
      <c r="I192" s="31"/>
      <c r="J192" s="34"/>
    </row>
    <row r="193" spans="1:10" ht="31.5" x14ac:dyDescent="0.25">
      <c r="A193" s="30"/>
      <c r="B193" s="31">
        <v>2950</v>
      </c>
      <c r="C193" s="3" t="s">
        <v>76</v>
      </c>
      <c r="D193" s="3" t="s">
        <v>98</v>
      </c>
      <c r="E193" s="29">
        <v>100</v>
      </c>
      <c r="F193" s="29">
        <v>25000</v>
      </c>
      <c r="G193" s="29">
        <f t="shared" si="5"/>
        <v>2500000</v>
      </c>
      <c r="H193" s="31"/>
      <c r="I193" s="31"/>
      <c r="J193" s="34"/>
    </row>
    <row r="194" spans="1:10" ht="31.5" x14ac:dyDescent="0.25">
      <c r="A194" s="30"/>
      <c r="B194" s="31">
        <v>2951</v>
      </c>
      <c r="C194" s="3" t="s">
        <v>154</v>
      </c>
      <c r="D194" s="3" t="s">
        <v>105</v>
      </c>
      <c r="E194" s="29">
        <v>8</v>
      </c>
      <c r="F194" s="29">
        <v>20250</v>
      </c>
      <c r="G194" s="29">
        <f t="shared" si="5"/>
        <v>162000</v>
      </c>
      <c r="H194" s="31"/>
      <c r="I194" s="31"/>
      <c r="J194" s="34"/>
    </row>
    <row r="195" spans="1:10" ht="31.5" x14ac:dyDescent="0.25">
      <c r="A195" s="36"/>
      <c r="B195" s="31">
        <v>2951</v>
      </c>
      <c r="C195" s="3" t="s">
        <v>154</v>
      </c>
      <c r="D195" s="3" t="s">
        <v>105</v>
      </c>
      <c r="E195" s="34">
        <v>13</v>
      </c>
      <c r="F195" s="34">
        <v>20000</v>
      </c>
      <c r="G195" s="34">
        <f>E195*F195</f>
        <v>260000</v>
      </c>
      <c r="H195" s="39"/>
      <c r="I195" s="39"/>
      <c r="J195" s="34"/>
    </row>
    <row r="196" spans="1:10" ht="31.5" x14ac:dyDescent="0.25">
      <c r="A196" s="36"/>
      <c r="B196" s="31">
        <v>2951</v>
      </c>
      <c r="C196" s="3" t="s">
        <v>154</v>
      </c>
      <c r="D196" s="39" t="s">
        <v>101</v>
      </c>
      <c r="E196" s="34">
        <v>5</v>
      </c>
      <c r="F196" s="34">
        <v>1350</v>
      </c>
      <c r="G196" s="34">
        <f>E196*F196</f>
        <v>6750</v>
      </c>
      <c r="H196" s="39"/>
      <c r="I196" s="39"/>
      <c r="J196" s="34"/>
    </row>
    <row r="197" spans="1:10" ht="31.5" x14ac:dyDescent="0.25">
      <c r="A197" s="30"/>
      <c r="B197" s="31">
        <v>2951</v>
      </c>
      <c r="C197" s="3" t="s">
        <v>154</v>
      </c>
      <c r="D197" s="3" t="s">
        <v>97</v>
      </c>
      <c r="E197" s="29">
        <v>7</v>
      </c>
      <c r="F197" s="29">
        <v>20500</v>
      </c>
      <c r="G197" s="29">
        <f t="shared" si="5"/>
        <v>143500</v>
      </c>
      <c r="H197" s="31"/>
      <c r="I197" s="31"/>
      <c r="J197" s="34"/>
    </row>
    <row r="198" spans="1:10" ht="31.5" x14ac:dyDescent="0.25">
      <c r="A198" s="36"/>
      <c r="B198" s="31">
        <v>2951</v>
      </c>
      <c r="C198" s="3" t="s">
        <v>154</v>
      </c>
      <c r="D198" s="3" t="s">
        <v>97</v>
      </c>
      <c r="E198" s="34">
        <v>3</v>
      </c>
      <c r="F198" s="34">
        <v>21000</v>
      </c>
      <c r="G198" s="34">
        <f>E198*F198</f>
        <v>63000</v>
      </c>
      <c r="H198" s="39"/>
      <c r="I198" s="39"/>
      <c r="J198" s="34"/>
    </row>
    <row r="199" spans="1:10" ht="31.5" x14ac:dyDescent="0.25">
      <c r="A199" s="36"/>
      <c r="B199" s="31">
        <v>2951</v>
      </c>
      <c r="C199" s="3" t="s">
        <v>154</v>
      </c>
      <c r="D199" s="3" t="s">
        <v>97</v>
      </c>
      <c r="E199" s="34">
        <v>4</v>
      </c>
      <c r="F199" s="34">
        <v>20000</v>
      </c>
      <c r="G199" s="34">
        <f>E199*F199</f>
        <v>80000</v>
      </c>
      <c r="H199" s="39"/>
      <c r="I199" s="39"/>
      <c r="J199" s="34"/>
    </row>
    <row r="200" spans="1:10" ht="31.5" x14ac:dyDescent="0.25">
      <c r="A200" s="30"/>
      <c r="B200" s="31">
        <v>2951</v>
      </c>
      <c r="C200" s="3" t="s">
        <v>154</v>
      </c>
      <c r="D200" s="3" t="s">
        <v>99</v>
      </c>
      <c r="E200" s="29">
        <v>14</v>
      </c>
      <c r="F200" s="29">
        <v>18000</v>
      </c>
      <c r="G200" s="29">
        <f t="shared" si="5"/>
        <v>252000</v>
      </c>
      <c r="H200" s="31"/>
      <c r="I200" s="31"/>
      <c r="J200" s="34"/>
    </row>
    <row r="201" spans="1:10" ht="31.5" x14ac:dyDescent="0.25">
      <c r="A201" s="30"/>
      <c r="B201" s="31">
        <v>2951</v>
      </c>
      <c r="C201" s="3" t="s">
        <v>154</v>
      </c>
      <c r="D201" s="3" t="s">
        <v>103</v>
      </c>
      <c r="E201" s="29">
        <v>41</v>
      </c>
      <c r="F201" s="29">
        <v>300</v>
      </c>
      <c r="G201" s="29">
        <f t="shared" si="5"/>
        <v>12300</v>
      </c>
      <c r="H201" s="31"/>
      <c r="I201" s="31"/>
      <c r="J201" s="34"/>
    </row>
    <row r="202" spans="1:10" ht="31.5" x14ac:dyDescent="0.25">
      <c r="A202" s="41">
        <v>45924</v>
      </c>
      <c r="B202" s="31">
        <v>2952</v>
      </c>
      <c r="C202" s="3" t="s">
        <v>66</v>
      </c>
      <c r="D202" s="3" t="s">
        <v>98</v>
      </c>
      <c r="E202" s="29">
        <v>100</v>
      </c>
      <c r="F202" s="29">
        <v>25000</v>
      </c>
      <c r="G202" s="29">
        <f t="shared" si="5"/>
        <v>2500000</v>
      </c>
      <c r="H202" s="31"/>
      <c r="I202" s="31"/>
      <c r="J202" s="34"/>
    </row>
    <row r="203" spans="1:10" ht="31.5" x14ac:dyDescent="0.25">
      <c r="A203" s="30"/>
      <c r="B203" s="31">
        <v>2953</v>
      </c>
      <c r="C203" s="3" t="s">
        <v>141</v>
      </c>
      <c r="D203" s="3" t="s">
        <v>98</v>
      </c>
      <c r="E203" s="29">
        <v>250</v>
      </c>
      <c r="F203" s="29">
        <v>25000</v>
      </c>
      <c r="G203" s="29">
        <f t="shared" si="5"/>
        <v>6250000</v>
      </c>
      <c r="H203" s="31"/>
      <c r="I203" s="31"/>
      <c r="J203" s="34"/>
    </row>
    <row r="204" spans="1:10" ht="31.5" x14ac:dyDescent="0.25">
      <c r="A204" s="30"/>
      <c r="B204" s="31">
        <v>2954</v>
      </c>
      <c r="C204" s="3" t="s">
        <v>65</v>
      </c>
      <c r="D204" s="3" t="s">
        <v>98</v>
      </c>
      <c r="E204" s="29">
        <v>250</v>
      </c>
      <c r="F204" s="29">
        <v>25000</v>
      </c>
      <c r="G204" s="29">
        <f t="shared" si="5"/>
        <v>6250000</v>
      </c>
      <c r="H204" s="31"/>
      <c r="I204" s="31"/>
      <c r="J204" s="34"/>
    </row>
    <row r="205" spans="1:10" ht="31.5" x14ac:dyDescent="0.25">
      <c r="A205" s="41">
        <v>45925</v>
      </c>
      <c r="B205" s="31">
        <v>2955</v>
      </c>
      <c r="C205" s="3" t="s">
        <v>69</v>
      </c>
      <c r="D205" s="3" t="s">
        <v>98</v>
      </c>
      <c r="E205" s="29">
        <v>1</v>
      </c>
      <c r="F205" s="29">
        <v>26000</v>
      </c>
      <c r="G205" s="29">
        <f t="shared" si="5"/>
        <v>26000</v>
      </c>
      <c r="H205" s="31"/>
      <c r="I205" s="31"/>
      <c r="J205" s="34"/>
    </row>
    <row r="206" spans="1:10" ht="31.5" x14ac:dyDescent="0.25">
      <c r="A206" s="41"/>
      <c r="B206" s="31">
        <v>2956</v>
      </c>
      <c r="C206" s="3" t="s">
        <v>71</v>
      </c>
      <c r="D206" s="3" t="s">
        <v>105</v>
      </c>
      <c r="E206" s="29">
        <v>7</v>
      </c>
      <c r="F206" s="29">
        <v>20000</v>
      </c>
      <c r="G206" s="29">
        <f t="shared" si="5"/>
        <v>140000</v>
      </c>
      <c r="H206" s="31"/>
      <c r="I206" s="31"/>
      <c r="J206" s="34"/>
    </row>
    <row r="207" spans="1:10" ht="31.5" x14ac:dyDescent="0.25">
      <c r="A207" s="41">
        <v>45926</v>
      </c>
      <c r="B207" s="31">
        <v>2957</v>
      </c>
      <c r="C207" s="3" t="s">
        <v>66</v>
      </c>
      <c r="D207" s="3" t="s">
        <v>98</v>
      </c>
      <c r="E207" s="29">
        <v>30</v>
      </c>
      <c r="F207" s="29">
        <v>25000</v>
      </c>
      <c r="G207" s="29">
        <f t="shared" si="5"/>
        <v>750000</v>
      </c>
      <c r="H207" s="31"/>
      <c r="I207" s="31"/>
      <c r="J207" s="34"/>
    </row>
    <row r="208" spans="1:10" ht="31.5" x14ac:dyDescent="0.25">
      <c r="A208" s="30"/>
      <c r="B208" s="31">
        <v>2958</v>
      </c>
      <c r="C208" s="3" t="s">
        <v>76</v>
      </c>
      <c r="D208" s="3" t="s">
        <v>98</v>
      </c>
      <c r="E208" s="29">
        <v>100</v>
      </c>
      <c r="F208" s="29">
        <v>25000</v>
      </c>
      <c r="G208" s="29">
        <f t="shared" si="5"/>
        <v>2500000</v>
      </c>
      <c r="H208" s="31"/>
      <c r="I208" s="31"/>
      <c r="J208" s="34"/>
    </row>
    <row r="209" spans="1:10" ht="31.5" x14ac:dyDescent="0.25">
      <c r="A209" s="30"/>
      <c r="B209" s="31">
        <v>2959</v>
      </c>
      <c r="C209" s="3" t="s">
        <v>66</v>
      </c>
      <c r="D209" s="3" t="s">
        <v>105</v>
      </c>
      <c r="E209" s="29">
        <v>5</v>
      </c>
      <c r="F209" s="29">
        <v>19500</v>
      </c>
      <c r="G209" s="29">
        <f t="shared" si="5"/>
        <v>97500</v>
      </c>
      <c r="H209" s="31"/>
      <c r="I209" s="31"/>
      <c r="J209" s="34"/>
    </row>
    <row r="210" spans="1:10" ht="31.5" x14ac:dyDescent="0.25">
      <c r="A210" s="30"/>
      <c r="B210" s="31">
        <v>2960</v>
      </c>
      <c r="C210" s="3" t="s">
        <v>66</v>
      </c>
      <c r="D210" s="3" t="s">
        <v>98</v>
      </c>
      <c r="E210" s="29">
        <v>100</v>
      </c>
      <c r="F210" s="29">
        <v>25000</v>
      </c>
      <c r="G210" s="29">
        <f t="shared" si="5"/>
        <v>2500000</v>
      </c>
      <c r="H210" s="31"/>
      <c r="I210" s="31"/>
      <c r="J210" s="34"/>
    </row>
    <row r="211" spans="1:10" ht="31.5" x14ac:dyDescent="0.25">
      <c r="A211" s="30"/>
      <c r="B211" s="31">
        <v>2961</v>
      </c>
      <c r="C211" s="3" t="s">
        <v>69</v>
      </c>
      <c r="D211" s="3" t="s">
        <v>98</v>
      </c>
      <c r="E211" s="29">
        <v>1</v>
      </c>
      <c r="F211" s="29">
        <v>26000</v>
      </c>
      <c r="G211" s="29">
        <f t="shared" si="5"/>
        <v>26000</v>
      </c>
      <c r="H211" s="31"/>
      <c r="I211" s="31"/>
      <c r="J211" s="34"/>
    </row>
    <row r="212" spans="1:10" ht="31.5" x14ac:dyDescent="0.25">
      <c r="A212" s="41">
        <v>45927</v>
      </c>
      <c r="B212" s="31">
        <v>2962</v>
      </c>
      <c r="C212" s="3" t="s">
        <v>79</v>
      </c>
      <c r="D212" s="3" t="s">
        <v>98</v>
      </c>
      <c r="E212" s="29">
        <v>250</v>
      </c>
      <c r="F212" s="29">
        <v>24500</v>
      </c>
      <c r="G212" s="29">
        <f t="shared" si="5"/>
        <v>6125000</v>
      </c>
      <c r="H212" s="31"/>
      <c r="I212" s="31"/>
      <c r="J212" s="34"/>
    </row>
    <row r="213" spans="1:10" ht="31.5" x14ac:dyDescent="0.25">
      <c r="A213" s="30"/>
      <c r="B213" s="31">
        <v>2963</v>
      </c>
      <c r="C213" s="3" t="s">
        <v>115</v>
      </c>
      <c r="D213" s="3" t="s">
        <v>98</v>
      </c>
      <c r="E213" s="29">
        <v>50</v>
      </c>
      <c r="F213" s="29">
        <v>26000</v>
      </c>
      <c r="G213" s="29">
        <f t="shared" si="5"/>
        <v>1300000</v>
      </c>
      <c r="H213" s="31"/>
      <c r="I213" s="31"/>
      <c r="J213" s="34"/>
    </row>
    <row r="214" spans="1:10" ht="31.5" x14ac:dyDescent="0.25">
      <c r="A214" s="30"/>
      <c r="B214" s="31">
        <v>2963</v>
      </c>
      <c r="C214" s="3" t="s">
        <v>116</v>
      </c>
      <c r="D214" s="3" t="s">
        <v>98</v>
      </c>
      <c r="E214" s="29">
        <v>50</v>
      </c>
      <c r="F214" s="29">
        <v>26000</v>
      </c>
      <c r="G214" s="29">
        <f t="shared" si="5"/>
        <v>1300000</v>
      </c>
      <c r="H214" s="31"/>
      <c r="I214" s="31"/>
      <c r="J214" s="34"/>
    </row>
    <row r="215" spans="1:10" ht="31.5" x14ac:dyDescent="0.25">
      <c r="A215" s="30"/>
      <c r="B215" s="31">
        <v>2964</v>
      </c>
      <c r="C215" s="3" t="s">
        <v>61</v>
      </c>
      <c r="D215" s="3" t="s">
        <v>98</v>
      </c>
      <c r="E215" s="29">
        <v>250</v>
      </c>
      <c r="F215" s="29">
        <v>24500</v>
      </c>
      <c r="G215" s="29">
        <f t="shared" si="5"/>
        <v>6125000</v>
      </c>
      <c r="H215" s="31"/>
      <c r="I215" s="31"/>
      <c r="J215" s="34"/>
    </row>
    <row r="216" spans="1:10" ht="31.5" x14ac:dyDescent="0.25">
      <c r="A216" s="30"/>
      <c r="B216" s="31">
        <v>2965</v>
      </c>
      <c r="C216" s="3" t="s">
        <v>71</v>
      </c>
      <c r="D216" s="3" t="s">
        <v>97</v>
      </c>
      <c r="E216" s="29">
        <v>3</v>
      </c>
      <c r="F216" s="29">
        <v>20000</v>
      </c>
      <c r="G216" s="29">
        <f t="shared" si="5"/>
        <v>60000</v>
      </c>
      <c r="H216" s="31"/>
      <c r="I216" s="31"/>
      <c r="J216" s="34"/>
    </row>
    <row r="217" spans="1:10" ht="31.5" x14ac:dyDescent="0.25">
      <c r="A217" s="30"/>
      <c r="B217" s="31">
        <v>2966</v>
      </c>
      <c r="C217" s="3" t="s">
        <v>61</v>
      </c>
      <c r="D217" s="3" t="s">
        <v>98</v>
      </c>
      <c r="E217" s="29">
        <v>250</v>
      </c>
      <c r="F217" s="29">
        <v>24500</v>
      </c>
      <c r="G217" s="29">
        <f t="shared" si="5"/>
        <v>6125000</v>
      </c>
      <c r="H217" s="31"/>
      <c r="I217" s="31"/>
      <c r="J217" s="34"/>
    </row>
    <row r="218" spans="1:10" ht="31.5" x14ac:dyDescent="0.25">
      <c r="A218" s="30"/>
      <c r="B218" s="31">
        <v>2967</v>
      </c>
      <c r="C218" s="3" t="s">
        <v>67</v>
      </c>
      <c r="D218" s="3" t="s">
        <v>98</v>
      </c>
      <c r="E218" s="29">
        <v>26</v>
      </c>
      <c r="F218" s="29">
        <v>26000</v>
      </c>
      <c r="G218" s="29">
        <f t="shared" si="5"/>
        <v>676000</v>
      </c>
      <c r="H218" s="31"/>
      <c r="I218" s="31"/>
      <c r="J218" s="34"/>
    </row>
    <row r="219" spans="1:10" ht="31.5" x14ac:dyDescent="0.25">
      <c r="A219" s="30"/>
      <c r="B219" s="31">
        <v>2968</v>
      </c>
      <c r="C219" s="3" t="s">
        <v>60</v>
      </c>
      <c r="D219" s="3" t="s">
        <v>98</v>
      </c>
      <c r="E219" s="29">
        <v>250</v>
      </c>
      <c r="F219" s="29">
        <v>24500</v>
      </c>
      <c r="G219" s="29">
        <f t="shared" si="5"/>
        <v>6125000</v>
      </c>
      <c r="H219" s="31"/>
      <c r="I219" s="31"/>
      <c r="J219" s="34"/>
    </row>
    <row r="220" spans="1:10" ht="31.5" x14ac:dyDescent="0.25">
      <c r="A220" s="30"/>
      <c r="B220" s="31">
        <v>2969</v>
      </c>
      <c r="C220" s="3" t="s">
        <v>71</v>
      </c>
      <c r="D220" s="3" t="s">
        <v>105</v>
      </c>
      <c r="E220" s="29">
        <v>2</v>
      </c>
      <c r="F220" s="29">
        <v>20000</v>
      </c>
      <c r="G220" s="29">
        <f t="shared" si="5"/>
        <v>40000</v>
      </c>
      <c r="H220" s="31"/>
      <c r="I220" s="31"/>
      <c r="J220" s="34"/>
    </row>
    <row r="221" spans="1:10" ht="31.5" x14ac:dyDescent="0.25">
      <c r="A221" s="41">
        <v>45929</v>
      </c>
      <c r="B221" s="31">
        <v>2970</v>
      </c>
      <c r="C221" s="3" t="s">
        <v>69</v>
      </c>
      <c r="D221" s="3" t="s">
        <v>105</v>
      </c>
      <c r="E221" s="29">
        <v>1</v>
      </c>
      <c r="F221" s="29">
        <v>20000</v>
      </c>
      <c r="G221" s="29">
        <f t="shared" si="5"/>
        <v>20000</v>
      </c>
      <c r="H221" s="31"/>
      <c r="I221" s="31"/>
      <c r="J221" s="34"/>
    </row>
    <row r="222" spans="1:10" ht="31.5" x14ac:dyDescent="0.25">
      <c r="A222" s="30"/>
      <c r="B222" s="31">
        <v>2971</v>
      </c>
      <c r="C222" s="3" t="s">
        <v>65</v>
      </c>
      <c r="D222" s="3" t="s">
        <v>98</v>
      </c>
      <c r="E222" s="29">
        <v>250</v>
      </c>
      <c r="F222" s="29">
        <v>24500</v>
      </c>
      <c r="G222" s="29">
        <f t="shared" si="5"/>
        <v>6125000</v>
      </c>
      <c r="H222" s="31"/>
      <c r="I222" s="31"/>
      <c r="J222" s="34"/>
    </row>
    <row r="223" spans="1:10" ht="31.5" x14ac:dyDescent="0.25">
      <c r="A223" s="30"/>
      <c r="B223" s="31">
        <v>2972</v>
      </c>
      <c r="C223" s="3" t="s">
        <v>60</v>
      </c>
      <c r="D223" s="3" t="s">
        <v>98</v>
      </c>
      <c r="E223" s="29">
        <v>250</v>
      </c>
      <c r="F223" s="29">
        <v>24500</v>
      </c>
      <c r="G223" s="29">
        <f t="shared" ref="G223:G251" si="6">E223*F223</f>
        <v>6125000</v>
      </c>
      <c r="H223" s="31"/>
      <c r="I223" s="31"/>
      <c r="J223" s="34"/>
    </row>
    <row r="224" spans="1:10" ht="31.5" x14ac:dyDescent="0.25">
      <c r="A224" s="30"/>
      <c r="B224" s="31">
        <v>2973</v>
      </c>
      <c r="C224" s="3" t="s">
        <v>63</v>
      </c>
      <c r="D224" s="3" t="s">
        <v>98</v>
      </c>
      <c r="E224" s="29">
        <v>250</v>
      </c>
      <c r="F224" s="29">
        <v>24500</v>
      </c>
      <c r="G224" s="29">
        <f t="shared" si="6"/>
        <v>6125000</v>
      </c>
      <c r="H224" s="31"/>
      <c r="I224" s="31"/>
      <c r="J224" s="34"/>
    </row>
    <row r="225" spans="1:10" ht="31.5" x14ac:dyDescent="0.25">
      <c r="A225" s="30"/>
      <c r="B225" s="31">
        <v>2974</v>
      </c>
      <c r="C225" s="3" t="s">
        <v>63</v>
      </c>
      <c r="D225" s="3" t="s">
        <v>98</v>
      </c>
      <c r="E225" s="29">
        <v>250</v>
      </c>
      <c r="F225" s="29">
        <v>24500</v>
      </c>
      <c r="G225" s="29">
        <f t="shared" si="6"/>
        <v>6125000</v>
      </c>
      <c r="H225" s="31"/>
      <c r="I225" s="31"/>
      <c r="J225" s="34"/>
    </row>
    <row r="226" spans="1:10" ht="31.5" x14ac:dyDescent="0.25">
      <c r="A226" s="30"/>
      <c r="B226" s="31">
        <v>2975</v>
      </c>
      <c r="C226" s="3" t="s">
        <v>72</v>
      </c>
      <c r="D226" s="3" t="s">
        <v>105</v>
      </c>
      <c r="E226" s="29">
        <v>5</v>
      </c>
      <c r="F226" s="29">
        <v>20000</v>
      </c>
      <c r="G226" s="29">
        <f t="shared" si="6"/>
        <v>100000</v>
      </c>
      <c r="H226" s="31"/>
      <c r="I226" s="31"/>
      <c r="J226" s="34"/>
    </row>
    <row r="227" spans="1:10" ht="31.5" x14ac:dyDescent="0.25">
      <c r="A227" s="30"/>
      <c r="B227" s="31">
        <v>2976</v>
      </c>
      <c r="C227" s="3" t="s">
        <v>76</v>
      </c>
      <c r="D227" s="3" t="s">
        <v>98</v>
      </c>
      <c r="E227" s="29">
        <v>100</v>
      </c>
      <c r="F227" s="29">
        <v>25000</v>
      </c>
      <c r="G227" s="29">
        <f t="shared" si="6"/>
        <v>2500000</v>
      </c>
      <c r="H227" s="31"/>
      <c r="I227" s="31"/>
      <c r="J227" s="34"/>
    </row>
    <row r="228" spans="1:10" ht="31.5" x14ac:dyDescent="0.25">
      <c r="A228" s="30"/>
      <c r="B228" s="31">
        <v>2977</v>
      </c>
      <c r="C228" s="3" t="s">
        <v>66</v>
      </c>
      <c r="D228" s="3" t="s">
        <v>98</v>
      </c>
      <c r="E228" s="29">
        <v>100</v>
      </c>
      <c r="F228" s="29">
        <v>25000</v>
      </c>
      <c r="G228" s="29">
        <f t="shared" si="6"/>
        <v>2500000</v>
      </c>
      <c r="H228" s="31"/>
      <c r="I228" s="31"/>
      <c r="J228" s="34"/>
    </row>
    <row r="229" spans="1:10" ht="31.5" x14ac:dyDescent="0.25">
      <c r="A229" s="30"/>
      <c r="B229" s="31">
        <v>2977</v>
      </c>
      <c r="C229" s="3" t="s">
        <v>66</v>
      </c>
      <c r="D229" s="3" t="s">
        <v>105</v>
      </c>
      <c r="E229" s="29">
        <v>5</v>
      </c>
      <c r="F229" s="29">
        <v>19500</v>
      </c>
      <c r="G229" s="29">
        <f t="shared" si="6"/>
        <v>97500</v>
      </c>
      <c r="H229" s="31"/>
      <c r="I229" s="31"/>
      <c r="J229" s="34"/>
    </row>
    <row r="230" spans="1:10" ht="31.5" x14ac:dyDescent="0.25">
      <c r="A230" s="30"/>
      <c r="B230" s="31">
        <v>2978</v>
      </c>
      <c r="C230" s="3" t="s">
        <v>64</v>
      </c>
      <c r="D230" s="3" t="s">
        <v>98</v>
      </c>
      <c r="E230" s="29">
        <v>100</v>
      </c>
      <c r="F230" s="29">
        <v>25000</v>
      </c>
      <c r="G230" s="29">
        <f t="shared" si="6"/>
        <v>2500000</v>
      </c>
      <c r="H230" s="31"/>
      <c r="I230" s="31"/>
      <c r="J230" s="34"/>
    </row>
    <row r="231" spans="1:10" ht="31.5" x14ac:dyDescent="0.25">
      <c r="A231" s="41">
        <v>45930</v>
      </c>
      <c r="B231" s="31">
        <v>2979</v>
      </c>
      <c r="C231" s="3" t="s">
        <v>71</v>
      </c>
      <c r="D231" s="3" t="s">
        <v>99</v>
      </c>
      <c r="E231" s="29">
        <v>2</v>
      </c>
      <c r="F231" s="29">
        <v>18000</v>
      </c>
      <c r="G231" s="29">
        <f t="shared" si="6"/>
        <v>36000</v>
      </c>
      <c r="H231" s="31"/>
      <c r="I231" s="31"/>
      <c r="J231" s="34"/>
    </row>
    <row r="232" spans="1:10" ht="31.5" x14ac:dyDescent="0.25">
      <c r="A232" s="30"/>
      <c r="B232" s="31">
        <v>2979</v>
      </c>
      <c r="C232" s="3" t="s">
        <v>71</v>
      </c>
      <c r="D232" s="3" t="s">
        <v>105</v>
      </c>
      <c r="E232" s="29">
        <v>4</v>
      </c>
      <c r="F232" s="29">
        <v>20000</v>
      </c>
      <c r="G232" s="29">
        <f t="shared" si="6"/>
        <v>80000</v>
      </c>
      <c r="H232" s="31"/>
      <c r="I232" s="31"/>
      <c r="J232" s="34"/>
    </row>
    <row r="233" spans="1:10" ht="31.5" x14ac:dyDescent="0.25">
      <c r="A233" s="30"/>
      <c r="B233" s="31">
        <v>2980</v>
      </c>
      <c r="C233" s="3" t="s">
        <v>61</v>
      </c>
      <c r="D233" s="3" t="s">
        <v>98</v>
      </c>
      <c r="E233" s="29">
        <v>250</v>
      </c>
      <c r="F233" s="29">
        <v>24500</v>
      </c>
      <c r="G233" s="29">
        <f t="shared" si="6"/>
        <v>6125000</v>
      </c>
      <c r="H233" s="31"/>
      <c r="I233" s="31"/>
      <c r="J233" s="34"/>
    </row>
    <row r="234" spans="1:10" ht="31.5" x14ac:dyDescent="0.25">
      <c r="A234" s="30"/>
      <c r="B234" s="31">
        <v>2981</v>
      </c>
      <c r="C234" s="3" t="s">
        <v>69</v>
      </c>
      <c r="D234" s="3" t="s">
        <v>99</v>
      </c>
      <c r="E234" s="29">
        <v>34</v>
      </c>
      <c r="F234" s="29">
        <v>17500</v>
      </c>
      <c r="G234" s="29">
        <f t="shared" si="6"/>
        <v>595000</v>
      </c>
      <c r="H234" s="31"/>
      <c r="I234" s="31"/>
      <c r="J234" s="34"/>
    </row>
    <row r="235" spans="1:10" ht="31.5" x14ac:dyDescent="0.25">
      <c r="A235" s="30"/>
      <c r="B235" s="31">
        <v>2981</v>
      </c>
      <c r="C235" s="3" t="s">
        <v>69</v>
      </c>
      <c r="D235" s="3" t="s">
        <v>105</v>
      </c>
      <c r="E235" s="29">
        <v>4</v>
      </c>
      <c r="F235" s="29">
        <v>19500</v>
      </c>
      <c r="G235" s="29">
        <f t="shared" si="6"/>
        <v>78000</v>
      </c>
      <c r="H235" s="31"/>
      <c r="I235" s="31"/>
      <c r="J235" s="34"/>
    </row>
    <row r="236" spans="1:10" ht="31.5" x14ac:dyDescent="0.25">
      <c r="A236" s="30"/>
      <c r="B236" s="31">
        <v>2982</v>
      </c>
      <c r="C236" s="3" t="s">
        <v>89</v>
      </c>
      <c r="D236" s="3" t="s">
        <v>98</v>
      </c>
      <c r="E236" s="29">
        <v>1500</v>
      </c>
      <c r="F236" s="29">
        <v>24500</v>
      </c>
      <c r="G236" s="29">
        <f t="shared" si="6"/>
        <v>36750000</v>
      </c>
      <c r="H236" s="31"/>
      <c r="I236" s="31"/>
      <c r="J236" s="34"/>
    </row>
    <row r="237" spans="1:10" ht="31.5" x14ac:dyDescent="0.25">
      <c r="A237" s="30"/>
      <c r="B237" s="31">
        <v>2983</v>
      </c>
      <c r="C237" s="3" t="s">
        <v>69</v>
      </c>
      <c r="D237" s="3" t="s">
        <v>98</v>
      </c>
      <c r="E237" s="29">
        <v>1</v>
      </c>
      <c r="F237" s="29">
        <v>26000</v>
      </c>
      <c r="G237" s="29">
        <f t="shared" si="6"/>
        <v>26000</v>
      </c>
      <c r="H237" s="31"/>
      <c r="I237" s="31"/>
      <c r="J237" s="34"/>
    </row>
    <row r="238" spans="1:10" x14ac:dyDescent="0.25">
      <c r="A238" s="30"/>
      <c r="B238" s="31"/>
      <c r="E238" s="29"/>
      <c r="F238" s="29"/>
      <c r="G238" s="29">
        <f t="shared" si="6"/>
        <v>0</v>
      </c>
      <c r="H238" s="31"/>
      <c r="I238" s="31"/>
      <c r="J238" s="34"/>
    </row>
    <row r="239" spans="1:10" ht="31.5" x14ac:dyDescent="0.25">
      <c r="A239" s="30"/>
      <c r="B239" s="31"/>
      <c r="C239" s="3" t="s">
        <v>87</v>
      </c>
      <c r="D239" s="3" t="s">
        <v>98</v>
      </c>
      <c r="E239" s="29">
        <v>1650</v>
      </c>
      <c r="F239" s="29">
        <v>24500</v>
      </c>
      <c r="G239" s="29">
        <f t="shared" si="6"/>
        <v>40425000</v>
      </c>
      <c r="H239" s="31"/>
      <c r="I239" s="31"/>
      <c r="J239" s="34"/>
    </row>
    <row r="240" spans="1:10" x14ac:dyDescent="0.25">
      <c r="A240" s="30"/>
      <c r="B240" s="31"/>
      <c r="E240" s="29"/>
      <c r="F240" s="29"/>
      <c r="G240" s="29">
        <f t="shared" si="6"/>
        <v>0</v>
      </c>
      <c r="H240" s="31"/>
      <c r="I240" s="31"/>
      <c r="J240" s="34"/>
    </row>
    <row r="241" spans="1:10" x14ac:dyDescent="0.25">
      <c r="A241" s="30"/>
      <c r="B241" s="31"/>
      <c r="E241" s="29"/>
      <c r="F241" s="29"/>
      <c r="G241" s="29">
        <f t="shared" si="6"/>
        <v>0</v>
      </c>
      <c r="H241" s="31"/>
      <c r="I241" s="31"/>
      <c r="J241" s="34"/>
    </row>
    <row r="242" spans="1:10" x14ac:dyDescent="0.25">
      <c r="A242" s="30"/>
      <c r="B242" s="31"/>
      <c r="E242" s="29"/>
      <c r="F242" s="29"/>
      <c r="G242" s="29">
        <f t="shared" si="6"/>
        <v>0</v>
      </c>
      <c r="H242" s="31"/>
      <c r="I242" s="31"/>
      <c r="J242" s="34"/>
    </row>
    <row r="243" spans="1:10" x14ac:dyDescent="0.25">
      <c r="A243" s="30"/>
      <c r="B243" s="31"/>
      <c r="E243" s="29"/>
      <c r="F243" s="29"/>
      <c r="G243" s="29">
        <f t="shared" si="6"/>
        <v>0</v>
      </c>
      <c r="H243" s="31"/>
      <c r="I243" s="31"/>
      <c r="J243" s="34"/>
    </row>
    <row r="244" spans="1:10" x14ac:dyDescent="0.25">
      <c r="A244" s="30"/>
      <c r="B244" s="31"/>
      <c r="E244" s="29"/>
      <c r="F244" s="29"/>
      <c r="G244" s="29">
        <f t="shared" si="6"/>
        <v>0</v>
      </c>
      <c r="H244" s="31"/>
      <c r="I244" s="31"/>
      <c r="J244" s="34"/>
    </row>
    <row r="245" spans="1:10" x14ac:dyDescent="0.25">
      <c r="A245" s="30"/>
      <c r="B245" s="31"/>
      <c r="E245" s="29"/>
      <c r="F245" s="29"/>
      <c r="G245" s="29">
        <f t="shared" si="6"/>
        <v>0</v>
      </c>
      <c r="H245" s="31"/>
      <c r="I245" s="31"/>
      <c r="J245" s="34"/>
    </row>
    <row r="246" spans="1:10" x14ac:dyDescent="0.25">
      <c r="A246" s="30"/>
      <c r="B246" s="31"/>
      <c r="E246" s="29"/>
      <c r="F246" s="29"/>
      <c r="G246" s="29">
        <f t="shared" si="6"/>
        <v>0</v>
      </c>
      <c r="H246" s="31"/>
      <c r="I246" s="31"/>
      <c r="J246" s="34"/>
    </row>
    <row r="247" spans="1:10" x14ac:dyDescent="0.25">
      <c r="A247" s="30"/>
      <c r="B247" s="31"/>
      <c r="E247" s="29"/>
      <c r="F247" s="29"/>
      <c r="G247" s="29">
        <f t="shared" si="6"/>
        <v>0</v>
      </c>
      <c r="H247" s="31"/>
      <c r="I247" s="31"/>
      <c r="J247" s="34"/>
    </row>
    <row r="248" spans="1:10" x14ac:dyDescent="0.25">
      <c r="A248" s="30"/>
      <c r="B248" s="31"/>
      <c r="E248" s="29"/>
      <c r="F248" s="29"/>
      <c r="G248" s="29">
        <f t="shared" si="6"/>
        <v>0</v>
      </c>
      <c r="H248" s="31"/>
      <c r="I248" s="31"/>
      <c r="J248" s="34"/>
    </row>
    <row r="249" spans="1:10" x14ac:dyDescent="0.25">
      <c r="A249" s="30"/>
      <c r="B249" s="31"/>
      <c r="E249" s="29"/>
      <c r="F249" s="29"/>
      <c r="G249" s="29">
        <f t="shared" si="6"/>
        <v>0</v>
      </c>
      <c r="H249" s="31"/>
      <c r="I249" s="31"/>
      <c r="J249" s="34"/>
    </row>
    <row r="250" spans="1:10" x14ac:dyDescent="0.25">
      <c r="A250" s="30"/>
      <c r="B250" s="31"/>
      <c r="E250" s="29"/>
      <c r="F250" s="29"/>
      <c r="G250" s="29">
        <f t="shared" si="6"/>
        <v>0</v>
      </c>
      <c r="H250" s="31"/>
      <c r="I250" s="31"/>
      <c r="J250" s="34"/>
    </row>
    <row r="251" spans="1:10" x14ac:dyDescent="0.25">
      <c r="A251" s="30"/>
      <c r="B251" s="31"/>
      <c r="E251" s="29"/>
      <c r="F251" s="29"/>
      <c r="G251" s="29">
        <f t="shared" si="6"/>
        <v>0</v>
      </c>
      <c r="H251" s="31"/>
      <c r="I251" s="31"/>
      <c r="J251" s="34"/>
    </row>
    <row r="252" spans="1:10" x14ac:dyDescent="0.25">
      <c r="A252" s="30"/>
      <c r="B252" s="31"/>
      <c r="E252" s="29"/>
      <c r="F252" s="29"/>
      <c r="G252" s="29">
        <f t="shared" ref="G252:G263" si="7">E252*F252</f>
        <v>0</v>
      </c>
      <c r="H252" s="31"/>
      <c r="I252" s="31"/>
      <c r="J252" s="34"/>
    </row>
    <row r="253" spans="1:10" x14ac:dyDescent="0.25">
      <c r="A253" s="30"/>
      <c r="B253" s="31"/>
      <c r="E253" s="29"/>
      <c r="F253" s="29"/>
      <c r="G253" s="29">
        <f t="shared" si="7"/>
        <v>0</v>
      </c>
      <c r="H253" s="31"/>
      <c r="I253" s="31"/>
      <c r="J253" s="34"/>
    </row>
    <row r="254" spans="1:10" x14ac:dyDescent="0.25">
      <c r="A254" s="30"/>
      <c r="B254" s="31"/>
      <c r="E254" s="29"/>
      <c r="F254" s="29"/>
      <c r="G254" s="29">
        <f t="shared" si="7"/>
        <v>0</v>
      </c>
      <c r="H254" s="31"/>
      <c r="I254" s="31"/>
      <c r="J254" s="34"/>
    </row>
    <row r="255" spans="1:10" x14ac:dyDescent="0.25">
      <c r="A255" s="30"/>
      <c r="B255" s="31"/>
      <c r="E255" s="29"/>
      <c r="F255" s="29"/>
      <c r="G255" s="29">
        <f t="shared" si="7"/>
        <v>0</v>
      </c>
      <c r="H255" s="31"/>
      <c r="I255" s="31"/>
      <c r="J255" s="34"/>
    </row>
    <row r="256" spans="1:10" x14ac:dyDescent="0.25">
      <c r="A256" s="30"/>
      <c r="B256" s="31"/>
      <c r="E256" s="29"/>
      <c r="F256" s="29"/>
      <c r="G256" s="29">
        <f t="shared" si="7"/>
        <v>0</v>
      </c>
      <c r="H256" s="31"/>
      <c r="I256" s="31"/>
      <c r="J256" s="34"/>
    </row>
    <row r="257" spans="1:10" x14ac:dyDescent="0.25">
      <c r="A257" s="30"/>
      <c r="B257" s="31"/>
      <c r="E257" s="29"/>
      <c r="F257" s="29"/>
      <c r="G257" s="29">
        <f t="shared" si="7"/>
        <v>0</v>
      </c>
      <c r="H257" s="31"/>
      <c r="I257" s="31"/>
      <c r="J257" s="34"/>
    </row>
    <row r="258" spans="1:10" x14ac:dyDescent="0.25">
      <c r="A258" s="30"/>
      <c r="B258" s="31"/>
      <c r="E258" s="29"/>
      <c r="F258" s="29"/>
      <c r="G258" s="29">
        <f t="shared" si="7"/>
        <v>0</v>
      </c>
      <c r="H258" s="31"/>
      <c r="I258" s="31"/>
      <c r="J258" s="34"/>
    </row>
    <row r="259" spans="1:10" x14ac:dyDescent="0.25">
      <c r="A259" s="30"/>
      <c r="B259" s="31"/>
      <c r="E259" s="29"/>
      <c r="F259" s="29"/>
      <c r="G259" s="29">
        <f t="shared" si="7"/>
        <v>0</v>
      </c>
      <c r="H259" s="31"/>
      <c r="I259" s="31"/>
      <c r="J259" s="34"/>
    </row>
    <row r="260" spans="1:10" x14ac:dyDescent="0.25">
      <c r="A260" s="30"/>
      <c r="B260" s="31"/>
      <c r="E260" s="29"/>
      <c r="F260" s="29"/>
      <c r="G260" s="29">
        <f t="shared" si="7"/>
        <v>0</v>
      </c>
      <c r="H260" s="31"/>
      <c r="I260" s="31"/>
      <c r="J260" s="34"/>
    </row>
    <row r="261" spans="1:10" x14ac:dyDescent="0.25">
      <c r="A261" s="30"/>
      <c r="B261" s="31"/>
      <c r="E261" s="29"/>
      <c r="F261" s="29"/>
      <c r="G261" s="29">
        <f t="shared" si="7"/>
        <v>0</v>
      </c>
      <c r="H261" s="31"/>
      <c r="I261" s="31"/>
      <c r="J261" s="34"/>
    </row>
    <row r="262" spans="1:10" x14ac:dyDescent="0.25">
      <c r="A262" s="30"/>
      <c r="B262" s="31"/>
      <c r="C262" s="31"/>
      <c r="E262" s="29"/>
      <c r="F262" s="29"/>
      <c r="G262" s="29">
        <f t="shared" si="7"/>
        <v>0</v>
      </c>
      <c r="H262" s="31"/>
      <c r="I262" s="31"/>
      <c r="J262" s="34"/>
    </row>
    <row r="263" spans="1:10" x14ac:dyDescent="0.25">
      <c r="A263" s="30"/>
      <c r="B263" s="31"/>
      <c r="C263" s="31"/>
      <c r="E263" s="29"/>
      <c r="F263" s="29"/>
      <c r="G263" s="29">
        <f t="shared" si="7"/>
        <v>0</v>
      </c>
      <c r="H263" s="31"/>
      <c r="I263" s="31"/>
      <c r="J263" s="34"/>
    </row>
    <row r="881" spans="7:7" x14ac:dyDescent="0.25">
      <c r="G881" s="19">
        <f t="shared" ref="G881:G924" si="8">E881*F881</f>
        <v>0</v>
      </c>
    </row>
    <row r="882" spans="7:7" x14ac:dyDescent="0.25">
      <c r="G882" s="19">
        <f t="shared" si="8"/>
        <v>0</v>
      </c>
    </row>
    <row r="883" spans="7:7" x14ac:dyDescent="0.25">
      <c r="G883" s="19">
        <f t="shared" si="8"/>
        <v>0</v>
      </c>
    </row>
    <row r="884" spans="7:7" x14ac:dyDescent="0.25">
      <c r="G884" s="19">
        <f t="shared" si="8"/>
        <v>0</v>
      </c>
    </row>
    <row r="885" spans="7:7" x14ac:dyDescent="0.25">
      <c r="G885" s="19">
        <f t="shared" si="8"/>
        <v>0</v>
      </c>
    </row>
    <row r="886" spans="7:7" x14ac:dyDescent="0.25">
      <c r="G886" s="19">
        <f t="shared" si="8"/>
        <v>0</v>
      </c>
    </row>
    <row r="887" spans="7:7" x14ac:dyDescent="0.25">
      <c r="G887" s="19">
        <f t="shared" si="8"/>
        <v>0</v>
      </c>
    </row>
    <row r="888" spans="7:7" x14ac:dyDescent="0.25">
      <c r="G888" s="19">
        <f t="shared" si="8"/>
        <v>0</v>
      </c>
    </row>
    <row r="889" spans="7:7" x14ac:dyDescent="0.25">
      <c r="G889" s="19">
        <f t="shared" si="8"/>
        <v>0</v>
      </c>
    </row>
    <row r="890" spans="7:7" x14ac:dyDescent="0.25">
      <c r="G890" s="19">
        <f t="shared" si="8"/>
        <v>0</v>
      </c>
    </row>
    <row r="891" spans="7:7" x14ac:dyDescent="0.25">
      <c r="G891" s="19">
        <f t="shared" si="8"/>
        <v>0</v>
      </c>
    </row>
    <row r="892" spans="7:7" x14ac:dyDescent="0.25">
      <c r="G892" s="19">
        <f t="shared" si="8"/>
        <v>0</v>
      </c>
    </row>
    <row r="893" spans="7:7" x14ac:dyDescent="0.25">
      <c r="G893" s="19">
        <f t="shared" si="8"/>
        <v>0</v>
      </c>
    </row>
    <row r="894" spans="7:7" x14ac:dyDescent="0.25">
      <c r="G894" s="19">
        <f t="shared" si="8"/>
        <v>0</v>
      </c>
    </row>
    <row r="895" spans="7:7" x14ac:dyDescent="0.25">
      <c r="G895" s="19">
        <f t="shared" si="8"/>
        <v>0</v>
      </c>
    </row>
    <row r="896" spans="7:7" x14ac:dyDescent="0.25">
      <c r="G896" s="19">
        <f t="shared" si="8"/>
        <v>0</v>
      </c>
    </row>
    <row r="897" spans="7:7" x14ac:dyDescent="0.25">
      <c r="G897" s="19">
        <f t="shared" si="8"/>
        <v>0</v>
      </c>
    </row>
    <row r="898" spans="7:7" x14ac:dyDescent="0.25">
      <c r="G898" s="19">
        <f t="shared" si="8"/>
        <v>0</v>
      </c>
    </row>
    <row r="899" spans="7:7" x14ac:dyDescent="0.25">
      <c r="G899" s="19">
        <f t="shared" si="8"/>
        <v>0</v>
      </c>
    </row>
    <row r="900" spans="7:7" x14ac:dyDescent="0.25">
      <c r="G900" s="19">
        <f t="shared" si="8"/>
        <v>0</v>
      </c>
    </row>
    <row r="901" spans="7:7" x14ac:dyDescent="0.25">
      <c r="G901" s="19">
        <f t="shared" si="8"/>
        <v>0</v>
      </c>
    </row>
    <row r="902" spans="7:7" x14ac:dyDescent="0.25">
      <c r="G902" s="19">
        <f t="shared" si="8"/>
        <v>0</v>
      </c>
    </row>
    <row r="903" spans="7:7" x14ac:dyDescent="0.25">
      <c r="G903" s="19">
        <f t="shared" si="8"/>
        <v>0</v>
      </c>
    </row>
    <row r="904" spans="7:7" x14ac:dyDescent="0.25">
      <c r="G904" s="19">
        <f t="shared" si="8"/>
        <v>0</v>
      </c>
    </row>
    <row r="905" spans="7:7" x14ac:dyDescent="0.25">
      <c r="G905" s="19">
        <f t="shared" si="8"/>
        <v>0</v>
      </c>
    </row>
    <row r="906" spans="7:7" x14ac:dyDescent="0.25">
      <c r="G906" s="19">
        <f t="shared" si="8"/>
        <v>0</v>
      </c>
    </row>
    <row r="907" spans="7:7" x14ac:dyDescent="0.25">
      <c r="G907" s="19">
        <f t="shared" si="8"/>
        <v>0</v>
      </c>
    </row>
    <row r="908" spans="7:7" x14ac:dyDescent="0.25">
      <c r="G908" s="19">
        <f t="shared" si="8"/>
        <v>0</v>
      </c>
    </row>
    <row r="909" spans="7:7" x14ac:dyDescent="0.25">
      <c r="G909" s="19">
        <f t="shared" si="8"/>
        <v>0</v>
      </c>
    </row>
    <row r="910" spans="7:7" x14ac:dyDescent="0.25">
      <c r="G910" s="19">
        <f t="shared" si="8"/>
        <v>0</v>
      </c>
    </row>
    <row r="911" spans="7:7" x14ac:dyDescent="0.25">
      <c r="G911" s="19">
        <f t="shared" si="8"/>
        <v>0</v>
      </c>
    </row>
    <row r="912" spans="7:7" x14ac:dyDescent="0.25">
      <c r="G912" s="19">
        <f t="shared" si="8"/>
        <v>0</v>
      </c>
    </row>
    <row r="913" spans="7:7" x14ac:dyDescent="0.25">
      <c r="G913" s="19">
        <f t="shared" si="8"/>
        <v>0</v>
      </c>
    </row>
    <row r="914" spans="7:7" x14ac:dyDescent="0.25">
      <c r="G914" s="19">
        <f t="shared" si="8"/>
        <v>0</v>
      </c>
    </row>
    <row r="915" spans="7:7" x14ac:dyDescent="0.25">
      <c r="G915" s="19">
        <f t="shared" si="8"/>
        <v>0</v>
      </c>
    </row>
    <row r="916" spans="7:7" x14ac:dyDescent="0.25">
      <c r="G916" s="19">
        <f t="shared" si="8"/>
        <v>0</v>
      </c>
    </row>
    <row r="917" spans="7:7" x14ac:dyDescent="0.25">
      <c r="G917" s="19">
        <f t="shared" si="8"/>
        <v>0</v>
      </c>
    </row>
    <row r="918" spans="7:7" x14ac:dyDescent="0.25">
      <c r="G918" s="19">
        <f t="shared" si="8"/>
        <v>0</v>
      </c>
    </row>
    <row r="919" spans="7:7" x14ac:dyDescent="0.25">
      <c r="G919" s="19">
        <f t="shared" si="8"/>
        <v>0</v>
      </c>
    </row>
    <row r="920" spans="7:7" x14ac:dyDescent="0.25">
      <c r="G920" s="19">
        <f t="shared" si="8"/>
        <v>0</v>
      </c>
    </row>
    <row r="921" spans="7:7" x14ac:dyDescent="0.25">
      <c r="G921" s="19">
        <f t="shared" si="8"/>
        <v>0</v>
      </c>
    </row>
    <row r="922" spans="7:7" x14ac:dyDescent="0.25">
      <c r="G922" s="19">
        <f t="shared" si="8"/>
        <v>0</v>
      </c>
    </row>
    <row r="923" spans="7:7" x14ac:dyDescent="0.25">
      <c r="G923" s="19">
        <f t="shared" si="8"/>
        <v>0</v>
      </c>
    </row>
    <row r="924" spans="7:7" x14ac:dyDescent="0.25">
      <c r="G924" s="19">
        <f t="shared" si="8"/>
        <v>0</v>
      </c>
    </row>
    <row r="925" spans="7:7" x14ac:dyDescent="0.25">
      <c r="G925" s="19">
        <f t="shared" ref="G925:G988" si="9">E925*F925</f>
        <v>0</v>
      </c>
    </row>
    <row r="926" spans="7:7" x14ac:dyDescent="0.25">
      <c r="G926" s="19">
        <f t="shared" si="9"/>
        <v>0</v>
      </c>
    </row>
    <row r="927" spans="7:7" x14ac:dyDescent="0.25">
      <c r="G927" s="19">
        <f t="shared" si="9"/>
        <v>0</v>
      </c>
    </row>
    <row r="928" spans="7:7" x14ac:dyDescent="0.25">
      <c r="G928" s="19">
        <f t="shared" si="9"/>
        <v>0</v>
      </c>
    </row>
    <row r="929" spans="7:7" x14ac:dyDescent="0.25">
      <c r="G929" s="19">
        <f t="shared" si="9"/>
        <v>0</v>
      </c>
    </row>
    <row r="930" spans="7:7" x14ac:dyDescent="0.25">
      <c r="G930" s="19">
        <f t="shared" si="9"/>
        <v>0</v>
      </c>
    </row>
    <row r="931" spans="7:7" x14ac:dyDescent="0.25">
      <c r="G931" s="19">
        <f t="shared" si="9"/>
        <v>0</v>
      </c>
    </row>
    <row r="932" spans="7:7" x14ac:dyDescent="0.25">
      <c r="G932" s="19">
        <f t="shared" si="9"/>
        <v>0</v>
      </c>
    </row>
    <row r="933" spans="7:7" x14ac:dyDescent="0.25">
      <c r="G933" s="19">
        <f t="shared" si="9"/>
        <v>0</v>
      </c>
    </row>
    <row r="934" spans="7:7" x14ac:dyDescent="0.25">
      <c r="G934" s="19">
        <f t="shared" si="9"/>
        <v>0</v>
      </c>
    </row>
    <row r="935" spans="7:7" x14ac:dyDescent="0.25">
      <c r="G935" s="19">
        <f t="shared" si="9"/>
        <v>0</v>
      </c>
    </row>
    <row r="936" spans="7:7" x14ac:dyDescent="0.25">
      <c r="G936" s="19">
        <f t="shared" si="9"/>
        <v>0</v>
      </c>
    </row>
    <row r="937" spans="7:7" x14ac:dyDescent="0.25">
      <c r="G937" s="19">
        <f t="shared" si="9"/>
        <v>0</v>
      </c>
    </row>
    <row r="938" spans="7:7" x14ac:dyDescent="0.25">
      <c r="G938" s="19">
        <f t="shared" si="9"/>
        <v>0</v>
      </c>
    </row>
    <row r="939" spans="7:7" x14ac:dyDescent="0.25">
      <c r="G939" s="19">
        <f t="shared" si="9"/>
        <v>0</v>
      </c>
    </row>
    <row r="940" spans="7:7" x14ac:dyDescent="0.25">
      <c r="G940" s="19">
        <f t="shared" si="9"/>
        <v>0</v>
      </c>
    </row>
    <row r="941" spans="7:7" x14ac:dyDescent="0.25">
      <c r="G941" s="19">
        <f t="shared" si="9"/>
        <v>0</v>
      </c>
    </row>
    <row r="942" spans="7:7" x14ac:dyDescent="0.25">
      <c r="G942" s="19">
        <f t="shared" si="9"/>
        <v>0</v>
      </c>
    </row>
    <row r="943" spans="7:7" x14ac:dyDescent="0.25">
      <c r="G943" s="19">
        <f t="shared" si="9"/>
        <v>0</v>
      </c>
    </row>
    <row r="944" spans="7:7" x14ac:dyDescent="0.25">
      <c r="G944" s="19">
        <f t="shared" si="9"/>
        <v>0</v>
      </c>
    </row>
    <row r="945" spans="7:7" x14ac:dyDescent="0.25">
      <c r="G945" s="19">
        <f t="shared" si="9"/>
        <v>0</v>
      </c>
    </row>
    <row r="946" spans="7:7" x14ac:dyDescent="0.25">
      <c r="G946" s="19">
        <f t="shared" si="9"/>
        <v>0</v>
      </c>
    </row>
    <row r="947" spans="7:7" x14ac:dyDescent="0.25">
      <c r="G947" s="19">
        <f t="shared" si="9"/>
        <v>0</v>
      </c>
    </row>
    <row r="948" spans="7:7" x14ac:dyDescent="0.25">
      <c r="G948" s="19">
        <f t="shared" si="9"/>
        <v>0</v>
      </c>
    </row>
    <row r="949" spans="7:7" x14ac:dyDescent="0.25">
      <c r="G949" s="19">
        <f t="shared" si="9"/>
        <v>0</v>
      </c>
    </row>
    <row r="950" spans="7:7" x14ac:dyDescent="0.25">
      <c r="G950" s="19">
        <f t="shared" si="9"/>
        <v>0</v>
      </c>
    </row>
    <row r="951" spans="7:7" x14ac:dyDescent="0.25">
      <c r="G951" s="19">
        <f t="shared" si="9"/>
        <v>0</v>
      </c>
    </row>
    <row r="952" spans="7:7" x14ac:dyDescent="0.25">
      <c r="G952" s="19">
        <f t="shared" si="9"/>
        <v>0</v>
      </c>
    </row>
    <row r="953" spans="7:7" x14ac:dyDescent="0.25">
      <c r="G953" s="19">
        <f t="shared" si="9"/>
        <v>0</v>
      </c>
    </row>
    <row r="954" spans="7:7" x14ac:dyDescent="0.25">
      <c r="G954" s="19">
        <f t="shared" si="9"/>
        <v>0</v>
      </c>
    </row>
    <row r="955" spans="7:7" x14ac:dyDescent="0.25">
      <c r="G955" s="19">
        <f t="shared" si="9"/>
        <v>0</v>
      </c>
    </row>
    <row r="956" spans="7:7" x14ac:dyDescent="0.25">
      <c r="G956" s="19">
        <f t="shared" si="9"/>
        <v>0</v>
      </c>
    </row>
    <row r="957" spans="7:7" x14ac:dyDescent="0.25">
      <c r="G957" s="19">
        <f t="shared" si="9"/>
        <v>0</v>
      </c>
    </row>
    <row r="958" spans="7:7" x14ac:dyDescent="0.25">
      <c r="G958" s="19">
        <f t="shared" si="9"/>
        <v>0</v>
      </c>
    </row>
    <row r="959" spans="7:7" x14ac:dyDescent="0.25">
      <c r="G959" s="19">
        <f t="shared" si="9"/>
        <v>0</v>
      </c>
    </row>
    <row r="960" spans="7:7" x14ac:dyDescent="0.25">
      <c r="G960" s="19">
        <f t="shared" si="9"/>
        <v>0</v>
      </c>
    </row>
    <row r="961" spans="7:7" x14ac:dyDescent="0.25">
      <c r="G961" s="19">
        <f t="shared" si="9"/>
        <v>0</v>
      </c>
    </row>
    <row r="962" spans="7:7" x14ac:dyDescent="0.25">
      <c r="G962" s="19">
        <f t="shared" si="9"/>
        <v>0</v>
      </c>
    </row>
    <row r="963" spans="7:7" x14ac:dyDescent="0.25">
      <c r="G963" s="19">
        <f t="shared" si="9"/>
        <v>0</v>
      </c>
    </row>
    <row r="964" spans="7:7" x14ac:dyDescent="0.25">
      <c r="G964" s="19">
        <f t="shared" si="9"/>
        <v>0</v>
      </c>
    </row>
    <row r="965" spans="7:7" x14ac:dyDescent="0.25">
      <c r="G965" s="19">
        <f t="shared" si="9"/>
        <v>0</v>
      </c>
    </row>
    <row r="966" spans="7:7" x14ac:dyDescent="0.25">
      <c r="G966" s="19">
        <f t="shared" si="9"/>
        <v>0</v>
      </c>
    </row>
    <row r="967" spans="7:7" x14ac:dyDescent="0.25">
      <c r="G967" s="19">
        <f t="shared" si="9"/>
        <v>0</v>
      </c>
    </row>
    <row r="968" spans="7:7" x14ac:dyDescent="0.25">
      <c r="G968" s="19">
        <f t="shared" si="9"/>
        <v>0</v>
      </c>
    </row>
    <row r="969" spans="7:7" x14ac:dyDescent="0.25">
      <c r="G969" s="19">
        <f t="shared" si="9"/>
        <v>0</v>
      </c>
    </row>
    <row r="970" spans="7:7" x14ac:dyDescent="0.25">
      <c r="G970" s="19">
        <f t="shared" si="9"/>
        <v>0</v>
      </c>
    </row>
    <row r="971" spans="7:7" x14ac:dyDescent="0.25">
      <c r="G971" s="19">
        <f t="shared" si="9"/>
        <v>0</v>
      </c>
    </row>
    <row r="972" spans="7:7" x14ac:dyDescent="0.25">
      <c r="G972" s="19">
        <f t="shared" si="9"/>
        <v>0</v>
      </c>
    </row>
    <row r="973" spans="7:7" x14ac:dyDescent="0.25">
      <c r="G973" s="19">
        <f t="shared" si="9"/>
        <v>0</v>
      </c>
    </row>
    <row r="974" spans="7:7" x14ac:dyDescent="0.25">
      <c r="G974" s="19">
        <f t="shared" si="9"/>
        <v>0</v>
      </c>
    </row>
    <row r="975" spans="7:7" x14ac:dyDescent="0.25">
      <c r="G975" s="19">
        <f t="shared" si="9"/>
        <v>0</v>
      </c>
    </row>
    <row r="976" spans="7:7" x14ac:dyDescent="0.25">
      <c r="G976" s="19">
        <f t="shared" si="9"/>
        <v>0</v>
      </c>
    </row>
    <row r="977" spans="7:7" x14ac:dyDescent="0.25">
      <c r="G977" s="19">
        <f t="shared" si="9"/>
        <v>0</v>
      </c>
    </row>
    <row r="978" spans="7:7" x14ac:dyDescent="0.25">
      <c r="G978" s="19">
        <f t="shared" si="9"/>
        <v>0</v>
      </c>
    </row>
    <row r="979" spans="7:7" x14ac:dyDescent="0.25">
      <c r="G979" s="19">
        <f t="shared" si="9"/>
        <v>0</v>
      </c>
    </row>
    <row r="980" spans="7:7" x14ac:dyDescent="0.25">
      <c r="G980" s="19">
        <f t="shared" si="9"/>
        <v>0</v>
      </c>
    </row>
    <row r="981" spans="7:7" x14ac:dyDescent="0.25">
      <c r="G981" s="19">
        <f t="shared" si="9"/>
        <v>0</v>
      </c>
    </row>
    <row r="982" spans="7:7" x14ac:dyDescent="0.25">
      <c r="G982" s="19">
        <f t="shared" si="9"/>
        <v>0</v>
      </c>
    </row>
    <row r="983" spans="7:7" x14ac:dyDescent="0.25">
      <c r="G983" s="19">
        <f t="shared" si="9"/>
        <v>0</v>
      </c>
    </row>
    <row r="984" spans="7:7" x14ac:dyDescent="0.25">
      <c r="G984" s="19">
        <f t="shared" si="9"/>
        <v>0</v>
      </c>
    </row>
    <row r="985" spans="7:7" x14ac:dyDescent="0.25">
      <c r="G985" s="19">
        <f t="shared" si="9"/>
        <v>0</v>
      </c>
    </row>
    <row r="986" spans="7:7" x14ac:dyDescent="0.25">
      <c r="G986" s="19">
        <f t="shared" si="9"/>
        <v>0</v>
      </c>
    </row>
    <row r="987" spans="7:7" x14ac:dyDescent="0.25">
      <c r="G987" s="19">
        <f t="shared" si="9"/>
        <v>0</v>
      </c>
    </row>
    <row r="988" spans="7:7" x14ac:dyDescent="0.25">
      <c r="G988" s="19">
        <f t="shared" si="9"/>
        <v>0</v>
      </c>
    </row>
    <row r="989" spans="7:7" x14ac:dyDescent="0.25">
      <c r="G989" s="19">
        <f t="shared" ref="G989:G1052" si="10">E989*F989</f>
        <v>0</v>
      </c>
    </row>
    <row r="990" spans="7:7" x14ac:dyDescent="0.25">
      <c r="G990" s="19">
        <f t="shared" si="10"/>
        <v>0</v>
      </c>
    </row>
    <row r="991" spans="7:7" x14ac:dyDescent="0.25">
      <c r="G991" s="19">
        <f t="shared" si="10"/>
        <v>0</v>
      </c>
    </row>
    <row r="992" spans="7:7" x14ac:dyDescent="0.25">
      <c r="G992" s="19">
        <f t="shared" si="10"/>
        <v>0</v>
      </c>
    </row>
    <row r="993" spans="7:7" x14ac:dyDescent="0.25">
      <c r="G993" s="19">
        <f t="shared" si="10"/>
        <v>0</v>
      </c>
    </row>
    <row r="994" spans="7:7" x14ac:dyDescent="0.25">
      <c r="G994" s="19">
        <f t="shared" si="10"/>
        <v>0</v>
      </c>
    </row>
    <row r="995" spans="7:7" x14ac:dyDescent="0.25">
      <c r="G995" s="19">
        <f t="shared" si="10"/>
        <v>0</v>
      </c>
    </row>
    <row r="996" spans="7:7" x14ac:dyDescent="0.25">
      <c r="G996" s="19">
        <f t="shared" si="10"/>
        <v>0</v>
      </c>
    </row>
    <row r="997" spans="7:7" x14ac:dyDescent="0.25">
      <c r="G997" s="19">
        <f t="shared" si="10"/>
        <v>0</v>
      </c>
    </row>
    <row r="998" spans="7:7" x14ac:dyDescent="0.25">
      <c r="G998" s="19">
        <f t="shared" si="10"/>
        <v>0</v>
      </c>
    </row>
    <row r="999" spans="7:7" x14ac:dyDescent="0.25">
      <c r="G999" s="19">
        <f t="shared" si="10"/>
        <v>0</v>
      </c>
    </row>
    <row r="1000" spans="7:7" x14ac:dyDescent="0.25">
      <c r="G1000" s="19">
        <f t="shared" si="10"/>
        <v>0</v>
      </c>
    </row>
    <row r="1001" spans="7:7" x14ac:dyDescent="0.25">
      <c r="G1001" s="19">
        <f t="shared" si="10"/>
        <v>0</v>
      </c>
    </row>
    <row r="1002" spans="7:7" x14ac:dyDescent="0.25">
      <c r="G1002" s="19">
        <f t="shared" si="10"/>
        <v>0</v>
      </c>
    </row>
    <row r="1003" spans="7:7" x14ac:dyDescent="0.25">
      <c r="G1003" s="19">
        <f t="shared" si="10"/>
        <v>0</v>
      </c>
    </row>
    <row r="1004" spans="7:7" x14ac:dyDescent="0.25">
      <c r="G1004" s="19">
        <f t="shared" si="10"/>
        <v>0</v>
      </c>
    </row>
    <row r="1005" spans="7:7" x14ac:dyDescent="0.25">
      <c r="G1005" s="19">
        <f t="shared" si="10"/>
        <v>0</v>
      </c>
    </row>
    <row r="1006" spans="7:7" x14ac:dyDescent="0.25">
      <c r="G1006" s="19">
        <f t="shared" si="10"/>
        <v>0</v>
      </c>
    </row>
    <row r="1007" spans="7:7" x14ac:dyDescent="0.25">
      <c r="G1007" s="19">
        <f t="shared" si="10"/>
        <v>0</v>
      </c>
    </row>
    <row r="1008" spans="7:7" x14ac:dyDescent="0.25">
      <c r="G1008" s="19">
        <f t="shared" si="10"/>
        <v>0</v>
      </c>
    </row>
    <row r="1009" spans="7:7" x14ac:dyDescent="0.25">
      <c r="G1009" s="19">
        <f t="shared" si="10"/>
        <v>0</v>
      </c>
    </row>
    <row r="1010" spans="7:7" x14ac:dyDescent="0.25">
      <c r="G1010" s="19">
        <f t="shared" si="10"/>
        <v>0</v>
      </c>
    </row>
    <row r="1011" spans="7:7" x14ac:dyDescent="0.25">
      <c r="G1011" s="19">
        <f t="shared" si="10"/>
        <v>0</v>
      </c>
    </row>
    <row r="1012" spans="7:7" x14ac:dyDescent="0.25">
      <c r="G1012" s="19">
        <f t="shared" si="10"/>
        <v>0</v>
      </c>
    </row>
    <row r="1013" spans="7:7" x14ac:dyDescent="0.25">
      <c r="G1013" s="19">
        <f t="shared" si="10"/>
        <v>0</v>
      </c>
    </row>
    <row r="1014" spans="7:7" x14ac:dyDescent="0.25">
      <c r="G1014" s="19">
        <f t="shared" si="10"/>
        <v>0</v>
      </c>
    </row>
    <row r="1015" spans="7:7" x14ac:dyDescent="0.25">
      <c r="G1015" s="19">
        <f t="shared" si="10"/>
        <v>0</v>
      </c>
    </row>
    <row r="1016" spans="7:7" x14ac:dyDescent="0.25">
      <c r="G1016" s="19">
        <f t="shared" si="10"/>
        <v>0</v>
      </c>
    </row>
    <row r="1017" spans="7:7" x14ac:dyDescent="0.25">
      <c r="G1017" s="19">
        <f t="shared" si="10"/>
        <v>0</v>
      </c>
    </row>
    <row r="1018" spans="7:7" x14ac:dyDescent="0.25">
      <c r="G1018" s="19">
        <f t="shared" si="10"/>
        <v>0</v>
      </c>
    </row>
    <row r="1019" spans="7:7" x14ac:dyDescent="0.25">
      <c r="G1019" s="19">
        <f t="shared" si="10"/>
        <v>0</v>
      </c>
    </row>
    <row r="1020" spans="7:7" x14ac:dyDescent="0.25">
      <c r="G1020" s="19">
        <f t="shared" si="10"/>
        <v>0</v>
      </c>
    </row>
    <row r="1021" spans="7:7" x14ac:dyDescent="0.25">
      <c r="G1021" s="19">
        <f t="shared" si="10"/>
        <v>0</v>
      </c>
    </row>
    <row r="1022" spans="7:7" x14ac:dyDescent="0.25">
      <c r="G1022" s="19">
        <f t="shared" si="10"/>
        <v>0</v>
      </c>
    </row>
    <row r="1023" spans="7:7" x14ac:dyDescent="0.25">
      <c r="G1023" s="19">
        <f t="shared" si="10"/>
        <v>0</v>
      </c>
    </row>
    <row r="1024" spans="7:7" x14ac:dyDescent="0.25">
      <c r="G1024" s="19">
        <f t="shared" si="10"/>
        <v>0</v>
      </c>
    </row>
    <row r="1025" spans="7:7" x14ac:dyDescent="0.25">
      <c r="G1025" s="19">
        <f t="shared" si="10"/>
        <v>0</v>
      </c>
    </row>
    <row r="1026" spans="7:7" x14ac:dyDescent="0.25">
      <c r="G1026" s="19">
        <f t="shared" si="10"/>
        <v>0</v>
      </c>
    </row>
    <row r="1027" spans="7:7" x14ac:dyDescent="0.25">
      <c r="G1027" s="19">
        <f t="shared" si="10"/>
        <v>0</v>
      </c>
    </row>
    <row r="1028" spans="7:7" x14ac:dyDescent="0.25">
      <c r="G1028" s="19">
        <f t="shared" si="10"/>
        <v>0</v>
      </c>
    </row>
    <row r="1029" spans="7:7" x14ac:dyDescent="0.25">
      <c r="G1029" s="19">
        <f t="shared" si="10"/>
        <v>0</v>
      </c>
    </row>
    <row r="1030" spans="7:7" x14ac:dyDescent="0.25">
      <c r="G1030" s="19">
        <f t="shared" si="10"/>
        <v>0</v>
      </c>
    </row>
    <row r="1031" spans="7:7" x14ac:dyDescent="0.25">
      <c r="G1031" s="19">
        <f t="shared" si="10"/>
        <v>0</v>
      </c>
    </row>
    <row r="1032" spans="7:7" x14ac:dyDescent="0.25">
      <c r="G1032" s="19">
        <f t="shared" si="10"/>
        <v>0</v>
      </c>
    </row>
    <row r="1033" spans="7:7" x14ac:dyDescent="0.25">
      <c r="G1033" s="19">
        <f t="shared" si="10"/>
        <v>0</v>
      </c>
    </row>
    <row r="1034" spans="7:7" x14ac:dyDescent="0.25">
      <c r="G1034" s="19">
        <f t="shared" si="10"/>
        <v>0</v>
      </c>
    </row>
    <row r="1035" spans="7:7" x14ac:dyDescent="0.25">
      <c r="G1035" s="19">
        <f t="shared" si="10"/>
        <v>0</v>
      </c>
    </row>
    <row r="1036" spans="7:7" x14ac:dyDescent="0.25">
      <c r="G1036" s="19">
        <f t="shared" si="10"/>
        <v>0</v>
      </c>
    </row>
    <row r="1037" spans="7:7" x14ac:dyDescent="0.25">
      <c r="G1037" s="19">
        <f t="shared" si="10"/>
        <v>0</v>
      </c>
    </row>
    <row r="1038" spans="7:7" x14ac:dyDescent="0.25">
      <c r="G1038" s="19">
        <f t="shared" si="10"/>
        <v>0</v>
      </c>
    </row>
    <row r="1039" spans="7:7" x14ac:dyDescent="0.25">
      <c r="G1039" s="19">
        <f t="shared" si="10"/>
        <v>0</v>
      </c>
    </row>
    <row r="1040" spans="7:7" x14ac:dyDescent="0.25">
      <c r="G1040" s="19">
        <f t="shared" si="10"/>
        <v>0</v>
      </c>
    </row>
    <row r="1041" spans="7:7" x14ac:dyDescent="0.25">
      <c r="G1041" s="19">
        <f t="shared" si="10"/>
        <v>0</v>
      </c>
    </row>
    <row r="1042" spans="7:7" x14ac:dyDescent="0.25">
      <c r="G1042" s="19">
        <f t="shared" si="10"/>
        <v>0</v>
      </c>
    </row>
    <row r="1043" spans="7:7" x14ac:dyDescent="0.25">
      <c r="G1043" s="19">
        <f t="shared" si="10"/>
        <v>0</v>
      </c>
    </row>
    <row r="1044" spans="7:7" x14ac:dyDescent="0.25">
      <c r="G1044" s="19">
        <f t="shared" si="10"/>
        <v>0</v>
      </c>
    </row>
    <row r="1045" spans="7:7" x14ac:dyDescent="0.25">
      <c r="G1045" s="19">
        <f t="shared" si="10"/>
        <v>0</v>
      </c>
    </row>
    <row r="1046" spans="7:7" x14ac:dyDescent="0.25">
      <c r="G1046" s="19">
        <f t="shared" si="10"/>
        <v>0</v>
      </c>
    </row>
    <row r="1047" spans="7:7" x14ac:dyDescent="0.25">
      <c r="G1047" s="19">
        <f t="shared" si="10"/>
        <v>0</v>
      </c>
    </row>
    <row r="1048" spans="7:7" x14ac:dyDescent="0.25">
      <c r="G1048" s="19">
        <f t="shared" si="10"/>
        <v>0</v>
      </c>
    </row>
    <row r="1049" spans="7:7" x14ac:dyDescent="0.25">
      <c r="G1049" s="19">
        <f t="shared" si="10"/>
        <v>0</v>
      </c>
    </row>
    <row r="1050" spans="7:7" x14ac:dyDescent="0.25">
      <c r="G1050" s="19">
        <f t="shared" si="10"/>
        <v>0</v>
      </c>
    </row>
    <row r="1051" spans="7:7" x14ac:dyDescent="0.25">
      <c r="G1051" s="19">
        <f t="shared" si="10"/>
        <v>0</v>
      </c>
    </row>
    <row r="1052" spans="7:7" x14ac:dyDescent="0.25">
      <c r="G1052" s="19">
        <f t="shared" si="10"/>
        <v>0</v>
      </c>
    </row>
    <row r="1053" spans="7:7" x14ac:dyDescent="0.25">
      <c r="G1053" s="19">
        <f t="shared" ref="G1053:G1116" si="11">E1053*F1053</f>
        <v>0</v>
      </c>
    </row>
    <row r="1054" spans="7:7" x14ac:dyDescent="0.25">
      <c r="G1054" s="19">
        <f t="shared" si="11"/>
        <v>0</v>
      </c>
    </row>
    <row r="1055" spans="7:7" x14ac:dyDescent="0.25">
      <c r="G1055" s="19">
        <f t="shared" si="11"/>
        <v>0</v>
      </c>
    </row>
    <row r="1056" spans="7:7" x14ac:dyDescent="0.25">
      <c r="G1056" s="19">
        <f t="shared" si="11"/>
        <v>0</v>
      </c>
    </row>
    <row r="1057" spans="7:7" x14ac:dyDescent="0.25">
      <c r="G1057" s="19">
        <f t="shared" si="11"/>
        <v>0</v>
      </c>
    </row>
    <row r="1058" spans="7:7" x14ac:dyDescent="0.25">
      <c r="G1058" s="19">
        <f t="shared" si="11"/>
        <v>0</v>
      </c>
    </row>
    <row r="1059" spans="7:7" x14ac:dyDescent="0.25">
      <c r="G1059" s="19">
        <f t="shared" si="11"/>
        <v>0</v>
      </c>
    </row>
    <row r="1060" spans="7:7" x14ac:dyDescent="0.25">
      <c r="G1060" s="19">
        <f t="shared" si="11"/>
        <v>0</v>
      </c>
    </row>
    <row r="1061" spans="7:7" x14ac:dyDescent="0.25">
      <c r="G1061" s="19">
        <f t="shared" si="11"/>
        <v>0</v>
      </c>
    </row>
    <row r="1062" spans="7:7" x14ac:dyDescent="0.25">
      <c r="G1062" s="19">
        <f t="shared" si="11"/>
        <v>0</v>
      </c>
    </row>
    <row r="1063" spans="7:7" x14ac:dyDescent="0.25">
      <c r="G1063" s="19">
        <f t="shared" si="11"/>
        <v>0</v>
      </c>
    </row>
    <row r="1064" spans="7:7" x14ac:dyDescent="0.25">
      <c r="G1064" s="19">
        <f t="shared" si="11"/>
        <v>0</v>
      </c>
    </row>
    <row r="1065" spans="7:7" x14ac:dyDescent="0.25">
      <c r="G1065" s="19">
        <f t="shared" si="11"/>
        <v>0</v>
      </c>
    </row>
    <row r="1066" spans="7:7" x14ac:dyDescent="0.25">
      <c r="G1066" s="19">
        <f t="shared" si="11"/>
        <v>0</v>
      </c>
    </row>
    <row r="1067" spans="7:7" x14ac:dyDescent="0.25">
      <c r="G1067" s="19">
        <f t="shared" si="11"/>
        <v>0</v>
      </c>
    </row>
    <row r="1068" spans="7:7" x14ac:dyDescent="0.25">
      <c r="G1068" s="19">
        <f t="shared" si="11"/>
        <v>0</v>
      </c>
    </row>
    <row r="1069" spans="7:7" x14ac:dyDescent="0.25">
      <c r="G1069" s="19">
        <f t="shared" si="11"/>
        <v>0</v>
      </c>
    </row>
    <row r="1070" spans="7:7" x14ac:dyDescent="0.25">
      <c r="G1070" s="19">
        <f t="shared" si="11"/>
        <v>0</v>
      </c>
    </row>
    <row r="1071" spans="7:7" x14ac:dyDescent="0.25">
      <c r="G1071" s="19">
        <f t="shared" si="11"/>
        <v>0</v>
      </c>
    </row>
    <row r="1072" spans="7:7" x14ac:dyDescent="0.25">
      <c r="G1072" s="19">
        <f t="shared" si="11"/>
        <v>0</v>
      </c>
    </row>
    <row r="1073" spans="7:7" x14ac:dyDescent="0.25">
      <c r="G1073" s="19">
        <f t="shared" si="11"/>
        <v>0</v>
      </c>
    </row>
    <row r="1074" spans="7:7" x14ac:dyDescent="0.25">
      <c r="G1074" s="19">
        <f t="shared" si="11"/>
        <v>0</v>
      </c>
    </row>
    <row r="1075" spans="7:7" x14ac:dyDescent="0.25">
      <c r="G1075" s="19">
        <f t="shared" si="11"/>
        <v>0</v>
      </c>
    </row>
    <row r="1076" spans="7:7" x14ac:dyDescent="0.25">
      <c r="G1076" s="19">
        <f t="shared" si="11"/>
        <v>0</v>
      </c>
    </row>
    <row r="1077" spans="7:7" x14ac:dyDescent="0.25">
      <c r="G1077" s="19">
        <f t="shared" si="11"/>
        <v>0</v>
      </c>
    </row>
    <row r="1078" spans="7:7" x14ac:dyDescent="0.25">
      <c r="G1078" s="19">
        <f t="shared" si="11"/>
        <v>0</v>
      </c>
    </row>
    <row r="1079" spans="7:7" x14ac:dyDescent="0.25">
      <c r="G1079" s="19">
        <f t="shared" si="11"/>
        <v>0</v>
      </c>
    </row>
    <row r="1080" spans="7:7" x14ac:dyDescent="0.25">
      <c r="G1080" s="19">
        <f t="shared" si="11"/>
        <v>0</v>
      </c>
    </row>
    <row r="1081" spans="7:7" x14ac:dyDescent="0.25">
      <c r="G1081" s="19">
        <f t="shared" si="11"/>
        <v>0</v>
      </c>
    </row>
    <row r="1082" spans="7:7" x14ac:dyDescent="0.25">
      <c r="G1082" s="19">
        <f t="shared" si="11"/>
        <v>0</v>
      </c>
    </row>
    <row r="1083" spans="7:7" x14ac:dyDescent="0.25">
      <c r="G1083" s="19">
        <f t="shared" si="11"/>
        <v>0</v>
      </c>
    </row>
    <row r="1084" spans="7:7" x14ac:dyDescent="0.25">
      <c r="G1084" s="19">
        <f t="shared" si="11"/>
        <v>0</v>
      </c>
    </row>
    <row r="1085" spans="7:7" x14ac:dyDescent="0.25">
      <c r="G1085" s="19">
        <f t="shared" si="11"/>
        <v>0</v>
      </c>
    </row>
    <row r="1086" spans="7:7" x14ac:dyDescent="0.25">
      <c r="G1086" s="19">
        <f t="shared" si="11"/>
        <v>0</v>
      </c>
    </row>
    <row r="1087" spans="7:7" x14ac:dyDescent="0.25">
      <c r="G1087" s="19">
        <f t="shared" si="11"/>
        <v>0</v>
      </c>
    </row>
    <row r="1088" spans="7:7" x14ac:dyDescent="0.25">
      <c r="G1088" s="19">
        <f t="shared" si="11"/>
        <v>0</v>
      </c>
    </row>
    <row r="1089" spans="7:7" x14ac:dyDescent="0.25">
      <c r="G1089" s="19">
        <f t="shared" si="11"/>
        <v>0</v>
      </c>
    </row>
    <row r="1090" spans="7:7" x14ac:dyDescent="0.25">
      <c r="G1090" s="19">
        <f t="shared" si="11"/>
        <v>0</v>
      </c>
    </row>
    <row r="1091" spans="7:7" x14ac:dyDescent="0.25">
      <c r="G1091" s="19">
        <f t="shared" si="11"/>
        <v>0</v>
      </c>
    </row>
    <row r="1092" spans="7:7" x14ac:dyDescent="0.25">
      <c r="G1092" s="19">
        <f t="shared" si="11"/>
        <v>0</v>
      </c>
    </row>
    <row r="1093" spans="7:7" x14ac:dyDescent="0.25">
      <c r="G1093" s="19">
        <f t="shared" si="11"/>
        <v>0</v>
      </c>
    </row>
    <row r="1094" spans="7:7" x14ac:dyDescent="0.25">
      <c r="G1094" s="19">
        <f t="shared" si="11"/>
        <v>0</v>
      </c>
    </row>
    <row r="1095" spans="7:7" x14ac:dyDescent="0.25">
      <c r="G1095" s="19">
        <f t="shared" si="11"/>
        <v>0</v>
      </c>
    </row>
    <row r="1096" spans="7:7" x14ac:dyDescent="0.25">
      <c r="G1096" s="19">
        <f t="shared" si="11"/>
        <v>0</v>
      </c>
    </row>
    <row r="1097" spans="7:7" x14ac:dyDescent="0.25">
      <c r="G1097" s="19">
        <f t="shared" si="11"/>
        <v>0</v>
      </c>
    </row>
    <row r="1098" spans="7:7" x14ac:dyDescent="0.25">
      <c r="G1098" s="19">
        <f t="shared" si="11"/>
        <v>0</v>
      </c>
    </row>
    <row r="1099" spans="7:7" x14ac:dyDescent="0.25">
      <c r="G1099" s="19">
        <f t="shared" si="11"/>
        <v>0</v>
      </c>
    </row>
    <row r="1100" spans="7:7" x14ac:dyDescent="0.25">
      <c r="G1100" s="19">
        <f t="shared" si="11"/>
        <v>0</v>
      </c>
    </row>
    <row r="1101" spans="7:7" x14ac:dyDescent="0.25">
      <c r="G1101" s="19">
        <f t="shared" si="11"/>
        <v>0</v>
      </c>
    </row>
    <row r="1102" spans="7:7" x14ac:dyDescent="0.25">
      <c r="G1102" s="19">
        <f t="shared" si="11"/>
        <v>0</v>
      </c>
    </row>
    <row r="1103" spans="7:7" x14ac:dyDescent="0.25">
      <c r="G1103" s="19">
        <f t="shared" si="11"/>
        <v>0</v>
      </c>
    </row>
    <row r="1104" spans="7:7" x14ac:dyDescent="0.25">
      <c r="G1104" s="19">
        <f t="shared" si="11"/>
        <v>0</v>
      </c>
    </row>
    <row r="1105" spans="7:7" x14ac:dyDescent="0.25">
      <c r="G1105" s="19">
        <f t="shared" si="11"/>
        <v>0</v>
      </c>
    </row>
    <row r="1106" spans="7:7" x14ac:dyDescent="0.25">
      <c r="G1106" s="19">
        <f t="shared" si="11"/>
        <v>0</v>
      </c>
    </row>
    <row r="1107" spans="7:7" x14ac:dyDescent="0.25">
      <c r="G1107" s="19">
        <f t="shared" si="11"/>
        <v>0</v>
      </c>
    </row>
    <row r="1108" spans="7:7" x14ac:dyDescent="0.25">
      <c r="G1108" s="19">
        <f t="shared" si="11"/>
        <v>0</v>
      </c>
    </row>
    <row r="1109" spans="7:7" x14ac:dyDescent="0.25">
      <c r="G1109" s="19">
        <f t="shared" si="11"/>
        <v>0</v>
      </c>
    </row>
    <row r="1110" spans="7:7" x14ac:dyDescent="0.25">
      <c r="G1110" s="19">
        <f t="shared" si="11"/>
        <v>0</v>
      </c>
    </row>
    <row r="1111" spans="7:7" x14ac:dyDescent="0.25">
      <c r="G1111" s="19">
        <f t="shared" si="11"/>
        <v>0</v>
      </c>
    </row>
    <row r="1112" spans="7:7" x14ac:dyDescent="0.25">
      <c r="G1112" s="19">
        <f t="shared" si="11"/>
        <v>0</v>
      </c>
    </row>
    <row r="1113" spans="7:7" x14ac:dyDescent="0.25">
      <c r="G1113" s="19">
        <f t="shared" si="11"/>
        <v>0</v>
      </c>
    </row>
    <row r="1114" spans="7:7" x14ac:dyDescent="0.25">
      <c r="G1114" s="19">
        <f t="shared" si="11"/>
        <v>0</v>
      </c>
    </row>
    <row r="1115" spans="7:7" x14ac:dyDescent="0.25">
      <c r="G1115" s="19">
        <f t="shared" si="11"/>
        <v>0</v>
      </c>
    </row>
    <row r="1116" spans="7:7" x14ac:dyDescent="0.25">
      <c r="G1116" s="19">
        <f t="shared" si="11"/>
        <v>0</v>
      </c>
    </row>
    <row r="1117" spans="7:7" x14ac:dyDescent="0.25">
      <c r="G1117" s="19">
        <f t="shared" ref="G1117:G1180" si="12">E1117*F1117</f>
        <v>0</v>
      </c>
    </row>
    <row r="1118" spans="7:7" x14ac:dyDescent="0.25">
      <c r="G1118" s="19">
        <f t="shared" si="12"/>
        <v>0</v>
      </c>
    </row>
    <row r="1119" spans="7:7" x14ac:dyDescent="0.25">
      <c r="G1119" s="19">
        <f t="shared" si="12"/>
        <v>0</v>
      </c>
    </row>
    <row r="1120" spans="7:7" x14ac:dyDescent="0.25">
      <c r="G1120" s="19">
        <f t="shared" si="12"/>
        <v>0</v>
      </c>
    </row>
    <row r="1121" spans="7:7" x14ac:dyDescent="0.25">
      <c r="G1121" s="19">
        <f t="shared" si="12"/>
        <v>0</v>
      </c>
    </row>
    <row r="1122" spans="7:7" x14ac:dyDescent="0.25">
      <c r="G1122" s="19">
        <f t="shared" si="12"/>
        <v>0</v>
      </c>
    </row>
    <row r="1123" spans="7:7" x14ac:dyDescent="0.25">
      <c r="G1123" s="19">
        <f t="shared" si="12"/>
        <v>0</v>
      </c>
    </row>
    <row r="1124" spans="7:7" x14ac:dyDescent="0.25">
      <c r="G1124" s="19">
        <f t="shared" si="12"/>
        <v>0</v>
      </c>
    </row>
    <row r="1125" spans="7:7" x14ac:dyDescent="0.25">
      <c r="G1125" s="19">
        <f t="shared" si="12"/>
        <v>0</v>
      </c>
    </row>
    <row r="1126" spans="7:7" x14ac:dyDescent="0.25">
      <c r="G1126" s="19">
        <f t="shared" si="12"/>
        <v>0</v>
      </c>
    </row>
    <row r="1127" spans="7:7" x14ac:dyDescent="0.25">
      <c r="G1127" s="19">
        <f t="shared" si="12"/>
        <v>0</v>
      </c>
    </row>
    <row r="1128" spans="7:7" x14ac:dyDescent="0.25">
      <c r="G1128" s="19">
        <f t="shared" si="12"/>
        <v>0</v>
      </c>
    </row>
    <row r="1129" spans="7:7" x14ac:dyDescent="0.25">
      <c r="G1129" s="19">
        <f t="shared" si="12"/>
        <v>0</v>
      </c>
    </row>
    <row r="1130" spans="7:7" x14ac:dyDescent="0.25">
      <c r="G1130" s="19">
        <f t="shared" si="12"/>
        <v>0</v>
      </c>
    </row>
    <row r="1131" spans="7:7" x14ac:dyDescent="0.25">
      <c r="G1131" s="19">
        <f t="shared" si="12"/>
        <v>0</v>
      </c>
    </row>
    <row r="1132" spans="7:7" x14ac:dyDescent="0.25">
      <c r="G1132" s="19">
        <f t="shared" si="12"/>
        <v>0</v>
      </c>
    </row>
    <row r="1133" spans="7:7" x14ac:dyDescent="0.25">
      <c r="G1133" s="19">
        <f t="shared" si="12"/>
        <v>0</v>
      </c>
    </row>
    <row r="1134" spans="7:7" x14ac:dyDescent="0.25">
      <c r="G1134" s="19">
        <f t="shared" si="12"/>
        <v>0</v>
      </c>
    </row>
    <row r="1135" spans="7:7" x14ac:dyDescent="0.25">
      <c r="G1135" s="19">
        <f t="shared" si="12"/>
        <v>0</v>
      </c>
    </row>
    <row r="1136" spans="7:7" x14ac:dyDescent="0.25">
      <c r="G1136" s="19">
        <f t="shared" si="12"/>
        <v>0</v>
      </c>
    </row>
    <row r="1137" spans="7:7" x14ac:dyDescent="0.25">
      <c r="G1137" s="19">
        <f t="shared" si="12"/>
        <v>0</v>
      </c>
    </row>
    <row r="1138" spans="7:7" x14ac:dyDescent="0.25">
      <c r="G1138" s="19">
        <f t="shared" si="12"/>
        <v>0</v>
      </c>
    </row>
    <row r="1139" spans="7:7" x14ac:dyDescent="0.25">
      <c r="G1139" s="19">
        <f t="shared" si="12"/>
        <v>0</v>
      </c>
    </row>
    <row r="1140" spans="7:7" x14ac:dyDescent="0.25">
      <c r="G1140" s="19">
        <f t="shared" si="12"/>
        <v>0</v>
      </c>
    </row>
    <row r="1141" spans="7:7" x14ac:dyDescent="0.25">
      <c r="G1141" s="19">
        <f t="shared" si="12"/>
        <v>0</v>
      </c>
    </row>
    <row r="1142" spans="7:7" x14ac:dyDescent="0.25">
      <c r="G1142" s="19">
        <f t="shared" si="12"/>
        <v>0</v>
      </c>
    </row>
    <row r="1143" spans="7:7" x14ac:dyDescent="0.25">
      <c r="G1143" s="19">
        <f t="shared" si="12"/>
        <v>0</v>
      </c>
    </row>
    <row r="1144" spans="7:7" x14ac:dyDescent="0.25">
      <c r="G1144" s="19">
        <f t="shared" si="12"/>
        <v>0</v>
      </c>
    </row>
    <row r="1145" spans="7:7" x14ac:dyDescent="0.25">
      <c r="G1145" s="19">
        <f t="shared" si="12"/>
        <v>0</v>
      </c>
    </row>
    <row r="1146" spans="7:7" x14ac:dyDescent="0.25">
      <c r="G1146" s="19">
        <f t="shared" si="12"/>
        <v>0</v>
      </c>
    </row>
    <row r="1147" spans="7:7" x14ac:dyDescent="0.25">
      <c r="G1147" s="19">
        <f t="shared" si="12"/>
        <v>0</v>
      </c>
    </row>
    <row r="1148" spans="7:7" x14ac:dyDescent="0.25">
      <c r="G1148" s="19">
        <f t="shared" si="12"/>
        <v>0</v>
      </c>
    </row>
    <row r="1149" spans="7:7" x14ac:dyDescent="0.25">
      <c r="G1149" s="19">
        <f t="shared" si="12"/>
        <v>0</v>
      </c>
    </row>
    <row r="1150" spans="7:7" x14ac:dyDescent="0.25">
      <c r="G1150" s="19">
        <f t="shared" si="12"/>
        <v>0</v>
      </c>
    </row>
    <row r="1151" spans="7:7" x14ac:dyDescent="0.25">
      <c r="G1151" s="19">
        <f t="shared" si="12"/>
        <v>0</v>
      </c>
    </row>
    <row r="1152" spans="7:7" x14ac:dyDescent="0.25">
      <c r="G1152" s="19">
        <f t="shared" si="12"/>
        <v>0</v>
      </c>
    </row>
    <row r="1153" spans="7:7" x14ac:dyDescent="0.25">
      <c r="G1153" s="19">
        <f t="shared" si="12"/>
        <v>0</v>
      </c>
    </row>
    <row r="1154" spans="7:7" x14ac:dyDescent="0.25">
      <c r="G1154" s="19">
        <f t="shared" si="12"/>
        <v>0</v>
      </c>
    </row>
    <row r="1155" spans="7:7" x14ac:dyDescent="0.25">
      <c r="G1155" s="19">
        <f t="shared" si="12"/>
        <v>0</v>
      </c>
    </row>
    <row r="1156" spans="7:7" x14ac:dyDescent="0.25">
      <c r="G1156" s="19">
        <f t="shared" si="12"/>
        <v>0</v>
      </c>
    </row>
    <row r="1157" spans="7:7" x14ac:dyDescent="0.25">
      <c r="G1157" s="19">
        <f t="shared" si="12"/>
        <v>0</v>
      </c>
    </row>
    <row r="1158" spans="7:7" x14ac:dyDescent="0.25">
      <c r="G1158" s="19">
        <f t="shared" si="12"/>
        <v>0</v>
      </c>
    </row>
    <row r="1159" spans="7:7" x14ac:dyDescent="0.25">
      <c r="G1159" s="19">
        <f t="shared" si="12"/>
        <v>0</v>
      </c>
    </row>
    <row r="1160" spans="7:7" x14ac:dyDescent="0.25">
      <c r="G1160" s="19">
        <f t="shared" si="12"/>
        <v>0</v>
      </c>
    </row>
    <row r="1161" spans="7:7" x14ac:dyDescent="0.25">
      <c r="G1161" s="19">
        <f t="shared" si="12"/>
        <v>0</v>
      </c>
    </row>
    <row r="1162" spans="7:7" x14ac:dyDescent="0.25">
      <c r="G1162" s="19">
        <f t="shared" si="12"/>
        <v>0</v>
      </c>
    </row>
    <row r="1163" spans="7:7" x14ac:dyDescent="0.25">
      <c r="G1163" s="19">
        <f t="shared" si="12"/>
        <v>0</v>
      </c>
    </row>
    <row r="1164" spans="7:7" x14ac:dyDescent="0.25">
      <c r="G1164" s="19">
        <f t="shared" si="12"/>
        <v>0</v>
      </c>
    </row>
    <row r="1165" spans="7:7" x14ac:dyDescent="0.25">
      <c r="G1165" s="19">
        <f t="shared" si="12"/>
        <v>0</v>
      </c>
    </row>
    <row r="1166" spans="7:7" x14ac:dyDescent="0.25">
      <c r="G1166" s="19">
        <f t="shared" si="12"/>
        <v>0</v>
      </c>
    </row>
    <row r="1167" spans="7:7" x14ac:dyDescent="0.25">
      <c r="G1167" s="19">
        <f t="shared" si="12"/>
        <v>0</v>
      </c>
    </row>
    <row r="1168" spans="7:7" x14ac:dyDescent="0.25">
      <c r="G1168" s="19">
        <f t="shared" si="12"/>
        <v>0</v>
      </c>
    </row>
    <row r="1169" spans="7:7" x14ac:dyDescent="0.25">
      <c r="G1169" s="19">
        <f t="shared" si="12"/>
        <v>0</v>
      </c>
    </row>
    <row r="1170" spans="7:7" x14ac:dyDescent="0.25">
      <c r="G1170" s="19">
        <f t="shared" si="12"/>
        <v>0</v>
      </c>
    </row>
    <row r="1171" spans="7:7" x14ac:dyDescent="0.25">
      <c r="G1171" s="19">
        <f t="shared" si="12"/>
        <v>0</v>
      </c>
    </row>
    <row r="1172" spans="7:7" x14ac:dyDescent="0.25">
      <c r="G1172" s="19">
        <f t="shared" si="12"/>
        <v>0</v>
      </c>
    </row>
    <row r="1173" spans="7:7" x14ac:dyDescent="0.25">
      <c r="G1173" s="19">
        <f t="shared" si="12"/>
        <v>0</v>
      </c>
    </row>
    <row r="1174" spans="7:7" x14ac:dyDescent="0.25">
      <c r="G1174" s="19">
        <f t="shared" si="12"/>
        <v>0</v>
      </c>
    </row>
    <row r="1175" spans="7:7" x14ac:dyDescent="0.25">
      <c r="G1175" s="19">
        <f t="shared" si="12"/>
        <v>0</v>
      </c>
    </row>
    <row r="1176" spans="7:7" x14ac:dyDescent="0.25">
      <c r="G1176" s="19">
        <f t="shared" si="12"/>
        <v>0</v>
      </c>
    </row>
    <row r="1177" spans="7:7" x14ac:dyDescent="0.25">
      <c r="G1177" s="19">
        <f t="shared" si="12"/>
        <v>0</v>
      </c>
    </row>
    <row r="1178" spans="7:7" x14ac:dyDescent="0.25">
      <c r="G1178" s="19">
        <f t="shared" si="12"/>
        <v>0</v>
      </c>
    </row>
    <row r="1179" spans="7:7" x14ac:dyDescent="0.25">
      <c r="G1179" s="19">
        <f t="shared" si="12"/>
        <v>0</v>
      </c>
    </row>
    <row r="1180" spans="7:7" x14ac:dyDescent="0.25">
      <c r="G1180" s="19">
        <f t="shared" si="12"/>
        <v>0</v>
      </c>
    </row>
    <row r="1181" spans="7:7" x14ac:dyDescent="0.25">
      <c r="G1181" s="19">
        <f t="shared" ref="G1181:G1233" si="13">E1181*F1181</f>
        <v>0</v>
      </c>
    </row>
    <row r="1182" spans="7:7" x14ac:dyDescent="0.25">
      <c r="G1182" s="19">
        <f t="shared" si="13"/>
        <v>0</v>
      </c>
    </row>
    <row r="1183" spans="7:7" x14ac:dyDescent="0.25">
      <c r="G1183" s="19">
        <f t="shared" si="13"/>
        <v>0</v>
      </c>
    </row>
    <row r="1184" spans="7:7" x14ac:dyDescent="0.25">
      <c r="G1184" s="19">
        <f t="shared" si="13"/>
        <v>0</v>
      </c>
    </row>
    <row r="1185" spans="7:7" x14ac:dyDescent="0.25">
      <c r="G1185" s="19">
        <f t="shared" si="13"/>
        <v>0</v>
      </c>
    </row>
    <row r="1186" spans="7:7" x14ac:dyDescent="0.25">
      <c r="G1186" s="19">
        <f t="shared" si="13"/>
        <v>0</v>
      </c>
    </row>
    <row r="1187" spans="7:7" x14ac:dyDescent="0.25">
      <c r="G1187" s="19">
        <f t="shared" si="13"/>
        <v>0</v>
      </c>
    </row>
    <row r="1188" spans="7:7" x14ac:dyDescent="0.25">
      <c r="G1188" s="19">
        <f t="shared" si="13"/>
        <v>0</v>
      </c>
    </row>
    <row r="1189" spans="7:7" x14ac:dyDescent="0.25">
      <c r="G1189" s="19">
        <f t="shared" si="13"/>
        <v>0</v>
      </c>
    </row>
    <row r="1190" spans="7:7" x14ac:dyDescent="0.25">
      <c r="G1190" s="19">
        <f t="shared" si="13"/>
        <v>0</v>
      </c>
    </row>
    <row r="1191" spans="7:7" x14ac:dyDescent="0.25">
      <c r="G1191" s="19">
        <f t="shared" si="13"/>
        <v>0</v>
      </c>
    </row>
    <row r="1192" spans="7:7" x14ac:dyDescent="0.25">
      <c r="G1192" s="19">
        <f t="shared" si="13"/>
        <v>0</v>
      </c>
    </row>
    <row r="1193" spans="7:7" x14ac:dyDescent="0.25">
      <c r="G1193" s="19">
        <f t="shared" si="13"/>
        <v>0</v>
      </c>
    </row>
    <row r="1194" spans="7:7" x14ac:dyDescent="0.25">
      <c r="G1194" s="19">
        <f t="shared" si="13"/>
        <v>0</v>
      </c>
    </row>
    <row r="1195" spans="7:7" x14ac:dyDescent="0.25">
      <c r="G1195" s="19">
        <f t="shared" si="13"/>
        <v>0</v>
      </c>
    </row>
    <row r="1196" spans="7:7" x14ac:dyDescent="0.25">
      <c r="G1196" s="19">
        <f t="shared" si="13"/>
        <v>0</v>
      </c>
    </row>
    <row r="1197" spans="7:7" x14ac:dyDescent="0.25">
      <c r="G1197" s="19">
        <f t="shared" si="13"/>
        <v>0</v>
      </c>
    </row>
    <row r="1198" spans="7:7" x14ac:dyDescent="0.25">
      <c r="G1198" s="19">
        <f t="shared" si="13"/>
        <v>0</v>
      </c>
    </row>
    <row r="1199" spans="7:7" x14ac:dyDescent="0.25">
      <c r="G1199" s="19">
        <f t="shared" si="13"/>
        <v>0</v>
      </c>
    </row>
    <row r="1200" spans="7:7" x14ac:dyDescent="0.25">
      <c r="G1200" s="19">
        <f t="shared" si="13"/>
        <v>0</v>
      </c>
    </row>
    <row r="1201" spans="7:7" x14ac:dyDescent="0.25">
      <c r="G1201" s="19">
        <f t="shared" si="13"/>
        <v>0</v>
      </c>
    </row>
    <row r="1202" spans="7:7" x14ac:dyDescent="0.25">
      <c r="G1202" s="19">
        <f t="shared" si="13"/>
        <v>0</v>
      </c>
    </row>
    <row r="1203" spans="7:7" x14ac:dyDescent="0.25">
      <c r="G1203" s="19">
        <f t="shared" si="13"/>
        <v>0</v>
      </c>
    </row>
    <row r="1204" spans="7:7" x14ac:dyDescent="0.25">
      <c r="G1204" s="19">
        <f t="shared" si="13"/>
        <v>0</v>
      </c>
    </row>
    <row r="1205" spans="7:7" x14ac:dyDescent="0.25">
      <c r="G1205" s="19">
        <f t="shared" si="13"/>
        <v>0</v>
      </c>
    </row>
    <row r="1206" spans="7:7" x14ac:dyDescent="0.25">
      <c r="G1206" s="19">
        <f t="shared" si="13"/>
        <v>0</v>
      </c>
    </row>
    <row r="1207" spans="7:7" x14ac:dyDescent="0.25">
      <c r="G1207" s="19">
        <f t="shared" si="13"/>
        <v>0</v>
      </c>
    </row>
    <row r="1208" spans="7:7" x14ac:dyDescent="0.25">
      <c r="G1208" s="19">
        <f t="shared" si="13"/>
        <v>0</v>
      </c>
    </row>
    <row r="1209" spans="7:7" x14ac:dyDescent="0.25">
      <c r="G1209" s="19">
        <f t="shared" si="13"/>
        <v>0</v>
      </c>
    </row>
    <row r="1210" spans="7:7" x14ac:dyDescent="0.25">
      <c r="G1210" s="19">
        <f t="shared" si="13"/>
        <v>0</v>
      </c>
    </row>
    <row r="1211" spans="7:7" x14ac:dyDescent="0.25">
      <c r="G1211" s="19">
        <f t="shared" si="13"/>
        <v>0</v>
      </c>
    </row>
    <row r="1212" spans="7:7" x14ac:dyDescent="0.25">
      <c r="G1212" s="19">
        <f t="shared" si="13"/>
        <v>0</v>
      </c>
    </row>
    <row r="1213" spans="7:7" x14ac:dyDescent="0.25">
      <c r="G1213" s="19">
        <f t="shared" si="13"/>
        <v>0</v>
      </c>
    </row>
    <row r="1214" spans="7:7" x14ac:dyDescent="0.25">
      <c r="G1214" s="19">
        <f t="shared" si="13"/>
        <v>0</v>
      </c>
    </row>
    <row r="1215" spans="7:7" x14ac:dyDescent="0.25">
      <c r="G1215" s="19">
        <f t="shared" si="13"/>
        <v>0</v>
      </c>
    </row>
    <row r="1216" spans="7:7" x14ac:dyDescent="0.25">
      <c r="G1216" s="19">
        <f t="shared" si="13"/>
        <v>0</v>
      </c>
    </row>
    <row r="1217" spans="7:7" x14ac:dyDescent="0.25">
      <c r="G1217" s="19">
        <f t="shared" si="13"/>
        <v>0</v>
      </c>
    </row>
    <row r="1218" spans="7:7" x14ac:dyDescent="0.25">
      <c r="G1218" s="19">
        <f t="shared" si="13"/>
        <v>0</v>
      </c>
    </row>
    <row r="1219" spans="7:7" x14ac:dyDescent="0.25">
      <c r="G1219" s="19">
        <f t="shared" si="13"/>
        <v>0</v>
      </c>
    </row>
    <row r="1220" spans="7:7" x14ac:dyDescent="0.25">
      <c r="G1220" s="19">
        <f t="shared" si="13"/>
        <v>0</v>
      </c>
    </row>
    <row r="1221" spans="7:7" x14ac:dyDescent="0.25">
      <c r="G1221" s="19">
        <f t="shared" si="13"/>
        <v>0</v>
      </c>
    </row>
    <row r="1222" spans="7:7" x14ac:dyDescent="0.25">
      <c r="G1222" s="19">
        <f t="shared" si="13"/>
        <v>0</v>
      </c>
    </row>
    <row r="1223" spans="7:7" x14ac:dyDescent="0.25">
      <c r="G1223" s="19">
        <f t="shared" si="13"/>
        <v>0</v>
      </c>
    </row>
    <row r="1224" spans="7:7" x14ac:dyDescent="0.25">
      <c r="G1224" s="19">
        <f t="shared" si="13"/>
        <v>0</v>
      </c>
    </row>
    <row r="1225" spans="7:7" x14ac:dyDescent="0.25">
      <c r="G1225" s="19">
        <f t="shared" si="13"/>
        <v>0</v>
      </c>
    </row>
    <row r="1226" spans="7:7" x14ac:dyDescent="0.25">
      <c r="G1226" s="19">
        <f t="shared" si="13"/>
        <v>0</v>
      </c>
    </row>
    <row r="1227" spans="7:7" x14ac:dyDescent="0.25">
      <c r="G1227" s="19">
        <f t="shared" si="13"/>
        <v>0</v>
      </c>
    </row>
    <row r="1228" spans="7:7" x14ac:dyDescent="0.25">
      <c r="G1228" s="19">
        <f t="shared" si="13"/>
        <v>0</v>
      </c>
    </row>
    <row r="1229" spans="7:7" x14ac:dyDescent="0.25">
      <c r="G1229" s="19">
        <f t="shared" si="13"/>
        <v>0</v>
      </c>
    </row>
    <row r="1230" spans="7:7" x14ac:dyDescent="0.25">
      <c r="G1230" s="19">
        <f t="shared" si="13"/>
        <v>0</v>
      </c>
    </row>
    <row r="1231" spans="7:7" x14ac:dyDescent="0.25">
      <c r="G1231" s="19">
        <f t="shared" si="13"/>
        <v>0</v>
      </c>
    </row>
    <row r="1232" spans="7:7" x14ac:dyDescent="0.25">
      <c r="G1232" s="19">
        <f t="shared" si="13"/>
        <v>0</v>
      </c>
    </row>
    <row r="1233" spans="7:7" x14ac:dyDescent="0.25">
      <c r="G1233" s="19">
        <f t="shared" si="13"/>
        <v>0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Feuil1!$A$1:$A$42</xm:f>
          </x14:formula1>
          <xm:sqref>C2:C32 C36:C61</xm:sqref>
        </x14:dataValidation>
        <x14:dataValidation type="list" allowBlank="1" showInputMessage="1" showErrorMessage="1">
          <x14:formula1>
            <xm:f>Feuil1!$C$17:$C$18</xm:f>
          </x14:formula1>
          <xm:sqref>H2:H67</xm:sqref>
        </x14:dataValidation>
        <x14:dataValidation type="list" allowBlank="1" showInputMessage="1" showErrorMessage="1">
          <x14:formula1>
            <xm:f>Feuil1!$D$17:$D$18</xm:f>
          </x14:formula1>
          <xm:sqref>I2:I64</xm:sqref>
        </x14:dataValidation>
        <x14:dataValidation type="list" allowBlank="1" showInputMessage="1" showErrorMessage="1">
          <x14:formula1>
            <xm:f>Feuil1!$A$1:$A$64</xm:f>
          </x14:formula1>
          <xm:sqref>C33:C35</xm:sqref>
        </x14:dataValidation>
        <x14:dataValidation type="list" allowBlank="1" showInputMessage="1" showErrorMessage="1">
          <x14:formula1>
            <xm:f>Feuil1!$B$17:$B$25</xm:f>
          </x14:formula1>
          <xm:sqref>D2:D263</xm:sqref>
        </x14:dataValidation>
        <x14:dataValidation type="list" allowBlank="1" showInputMessage="1" showErrorMessage="1">
          <x14:formula1>
            <xm:f>Feuil1!$A$1:$A$76</xm:f>
          </x14:formula1>
          <xm:sqref>C62:C261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161</v>
      </c>
      <c r="B1">
        <v>562500</v>
      </c>
      <c r="C1">
        <v>1300000</v>
      </c>
    </row>
    <row r="2" spans="1:3" x14ac:dyDescent="0.25">
      <c r="A2" t="s">
        <v>162</v>
      </c>
      <c r="B2">
        <v>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9" workbookViewId="0">
      <selection activeCell="A49" sqref="A49"/>
    </sheetView>
  </sheetViews>
  <sheetFormatPr baseColWidth="10" defaultRowHeight="15" x14ac:dyDescent="0.25"/>
  <cols>
    <col min="1" max="1" width="22.7109375" style="33" customWidth="1"/>
    <col min="2" max="2" width="56.140625" customWidth="1"/>
    <col min="3" max="3" width="22.7109375" customWidth="1"/>
    <col min="4" max="4" width="22.42578125" customWidth="1"/>
  </cols>
  <sheetData>
    <row r="1" spans="1:1" x14ac:dyDescent="0.25">
      <c r="A1" s="33" t="s">
        <v>59</v>
      </c>
    </row>
    <row r="2" spans="1:1" x14ac:dyDescent="0.25">
      <c r="A2" s="33" t="s">
        <v>60</v>
      </c>
    </row>
    <row r="3" spans="1:1" x14ac:dyDescent="0.25">
      <c r="A3" s="33" t="s">
        <v>61</v>
      </c>
    </row>
    <row r="4" spans="1:1" x14ac:dyDescent="0.25">
      <c r="A4" s="33" t="s">
        <v>62</v>
      </c>
    </row>
    <row r="5" spans="1:1" x14ac:dyDescent="0.25">
      <c r="A5" s="33" t="s">
        <v>63</v>
      </c>
    </row>
    <row r="6" spans="1:1" x14ac:dyDescent="0.25">
      <c r="A6" s="33" t="s">
        <v>64</v>
      </c>
    </row>
    <row r="7" spans="1:1" x14ac:dyDescent="0.25">
      <c r="A7" s="33" t="s">
        <v>65</v>
      </c>
    </row>
    <row r="8" spans="1:1" x14ac:dyDescent="0.25">
      <c r="A8" s="33" t="s">
        <v>66</v>
      </c>
    </row>
    <row r="9" spans="1:1" x14ac:dyDescent="0.25">
      <c r="A9" s="33" t="s">
        <v>67</v>
      </c>
    </row>
    <row r="10" spans="1:1" x14ac:dyDescent="0.25">
      <c r="A10" s="33" t="s">
        <v>68</v>
      </c>
    </row>
    <row r="11" spans="1:1" x14ac:dyDescent="0.25">
      <c r="A11" s="33" t="s">
        <v>69</v>
      </c>
    </row>
    <row r="12" spans="1:1" x14ac:dyDescent="0.25">
      <c r="A12" s="33" t="s">
        <v>70</v>
      </c>
    </row>
    <row r="13" spans="1:1" x14ac:dyDescent="0.25">
      <c r="A13" s="33" t="s">
        <v>71</v>
      </c>
    </row>
    <row r="14" spans="1:1" x14ac:dyDescent="0.25">
      <c r="A14" s="33" t="s">
        <v>72</v>
      </c>
    </row>
    <row r="15" spans="1:1" x14ac:dyDescent="0.25">
      <c r="A15" s="33" t="s">
        <v>73</v>
      </c>
    </row>
    <row r="16" spans="1:1" x14ac:dyDescent="0.25">
      <c r="A16" s="33" t="s">
        <v>74</v>
      </c>
    </row>
    <row r="17" spans="1:4" x14ac:dyDescent="0.25">
      <c r="A17" s="33" t="s">
        <v>75</v>
      </c>
      <c r="B17" t="s">
        <v>97</v>
      </c>
      <c r="C17" t="s">
        <v>106</v>
      </c>
      <c r="D17" t="s">
        <v>108</v>
      </c>
    </row>
    <row r="18" spans="1:4" x14ac:dyDescent="0.25">
      <c r="A18" s="33" t="s">
        <v>76</v>
      </c>
      <c r="B18" t="s">
        <v>98</v>
      </c>
      <c r="C18" t="s">
        <v>107</v>
      </c>
      <c r="D18" t="s">
        <v>109</v>
      </c>
    </row>
    <row r="19" spans="1:4" x14ac:dyDescent="0.25">
      <c r="A19" s="33" t="s">
        <v>77</v>
      </c>
      <c r="B19" t="s">
        <v>99</v>
      </c>
    </row>
    <row r="20" spans="1:4" x14ac:dyDescent="0.25">
      <c r="A20" s="33" t="s">
        <v>96</v>
      </c>
      <c r="B20" t="s">
        <v>100</v>
      </c>
    </row>
    <row r="21" spans="1:4" x14ac:dyDescent="0.25">
      <c r="A21" s="33" t="s">
        <v>78</v>
      </c>
      <c r="B21" t="s">
        <v>101</v>
      </c>
      <c r="C21" t="s">
        <v>112</v>
      </c>
    </row>
    <row r="22" spans="1:4" x14ac:dyDescent="0.25">
      <c r="A22" s="33" t="s">
        <v>79</v>
      </c>
      <c r="B22" t="s">
        <v>102</v>
      </c>
      <c r="C22" t="s">
        <v>113</v>
      </c>
    </row>
    <row r="23" spans="1:4" ht="45" x14ac:dyDescent="0.25">
      <c r="A23" s="33" t="s">
        <v>80</v>
      </c>
      <c r="B23" t="s">
        <v>103</v>
      </c>
    </row>
    <row r="24" spans="1:4" x14ac:dyDescent="0.25">
      <c r="A24" s="33" t="s">
        <v>81</v>
      </c>
      <c r="B24" t="s">
        <v>104</v>
      </c>
    </row>
    <row r="25" spans="1:4" x14ac:dyDescent="0.25">
      <c r="A25" s="33" t="s">
        <v>82</v>
      </c>
      <c r="B25" t="s">
        <v>105</v>
      </c>
    </row>
    <row r="26" spans="1:4" x14ac:dyDescent="0.25">
      <c r="A26" s="33" t="s">
        <v>83</v>
      </c>
    </row>
    <row r="27" spans="1:4" x14ac:dyDescent="0.25">
      <c r="A27" s="33" t="s">
        <v>84</v>
      </c>
    </row>
    <row r="28" spans="1:4" x14ac:dyDescent="0.25">
      <c r="A28" s="33" t="s">
        <v>85</v>
      </c>
    </row>
    <row r="29" spans="1:4" x14ac:dyDescent="0.25">
      <c r="A29" s="33" t="s">
        <v>86</v>
      </c>
    </row>
    <row r="30" spans="1:4" x14ac:dyDescent="0.25">
      <c r="A30" s="33" t="s">
        <v>87</v>
      </c>
    </row>
    <row r="31" spans="1:4" x14ac:dyDescent="0.25">
      <c r="A31" s="33" t="s">
        <v>88</v>
      </c>
    </row>
    <row r="32" spans="1:4" x14ac:dyDescent="0.25">
      <c r="A32" s="33" t="s">
        <v>89</v>
      </c>
    </row>
    <row r="33" spans="1:1" x14ac:dyDescent="0.25">
      <c r="A33" s="33" t="s">
        <v>90</v>
      </c>
    </row>
    <row r="34" spans="1:1" x14ac:dyDescent="0.25">
      <c r="A34" s="33" t="s">
        <v>91</v>
      </c>
    </row>
    <row r="35" spans="1:1" x14ac:dyDescent="0.25">
      <c r="A35" s="33" t="s">
        <v>92</v>
      </c>
    </row>
    <row r="36" spans="1:1" ht="30" x14ac:dyDescent="0.25">
      <c r="A36" s="33" t="s">
        <v>93</v>
      </c>
    </row>
    <row r="37" spans="1:1" x14ac:dyDescent="0.25">
      <c r="A37" s="33" t="s">
        <v>94</v>
      </c>
    </row>
    <row r="38" spans="1:1" x14ac:dyDescent="0.25">
      <c r="A38" s="33" t="s">
        <v>141</v>
      </c>
    </row>
    <row r="39" spans="1:1" ht="45" x14ac:dyDescent="0.25">
      <c r="A39" s="33" t="s">
        <v>95</v>
      </c>
    </row>
    <row r="40" spans="1:1" ht="45" x14ac:dyDescent="0.25">
      <c r="A40" s="33" t="s">
        <v>111</v>
      </c>
    </row>
    <row r="41" spans="1:1" ht="45" x14ac:dyDescent="0.25">
      <c r="A41" s="33" t="s">
        <v>122</v>
      </c>
    </row>
    <row r="42" spans="1:1" ht="45" x14ac:dyDescent="0.25">
      <c r="A42" s="33" t="s">
        <v>142</v>
      </c>
    </row>
    <row r="43" spans="1:1" x14ac:dyDescent="0.25">
      <c r="A43" s="33" t="s">
        <v>152</v>
      </c>
    </row>
    <row r="44" spans="1:1" x14ac:dyDescent="0.25">
      <c r="A44" s="33" t="s">
        <v>153</v>
      </c>
    </row>
    <row r="45" spans="1:1" x14ac:dyDescent="0.25">
      <c r="A45" s="33" t="s">
        <v>115</v>
      </c>
    </row>
    <row r="46" spans="1:1" x14ac:dyDescent="0.25">
      <c r="A46" s="33" t="s">
        <v>116</v>
      </c>
    </row>
    <row r="47" spans="1:1" x14ac:dyDescent="0.25">
      <c r="A47" s="33" t="s">
        <v>117</v>
      </c>
    </row>
    <row r="48" spans="1:1" ht="45" x14ac:dyDescent="0.25">
      <c r="A48" s="33" t="s">
        <v>150</v>
      </c>
    </row>
    <row r="49" spans="1:1" ht="45" x14ac:dyDescent="0.25">
      <c r="A49" s="3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1"/>
  <sheetViews>
    <sheetView workbookViewId="0">
      <selection activeCell="C4" sqref="C4"/>
    </sheetView>
  </sheetViews>
  <sheetFormatPr baseColWidth="10" defaultColWidth="8.85546875" defaultRowHeight="15.75" x14ac:dyDescent="0.25"/>
  <cols>
    <col min="1" max="1" width="12.85546875" style="3" customWidth="1"/>
    <col min="2" max="2" width="23" style="3" customWidth="1"/>
    <col min="3" max="3" width="16.7109375" style="3" customWidth="1"/>
    <col min="4" max="4" width="15.7109375" style="3" customWidth="1"/>
    <col min="5" max="5" width="11.28515625" style="3" customWidth="1"/>
    <col min="6" max="6" width="12.28515625" style="3" customWidth="1"/>
    <col min="7" max="7" width="14.5703125" style="3" customWidth="1"/>
    <col min="8" max="8" width="28.28515625" style="3" customWidth="1"/>
    <col min="9" max="9" width="24.28515625" style="3" customWidth="1"/>
    <col min="10" max="10" width="13.7109375" style="3" customWidth="1"/>
    <col min="11" max="12" width="12.28515625" style="3" customWidth="1"/>
    <col min="13" max="13" width="14.7109375" style="3" customWidth="1"/>
    <col min="14" max="16384" width="8.85546875" style="3"/>
  </cols>
  <sheetData>
    <row r="1" spans="1:13" s="9" customFormat="1" ht="46.9" customHeight="1" x14ac:dyDescent="0.25">
      <c r="A1" s="8" t="s">
        <v>0</v>
      </c>
      <c r="B1" s="8" t="s">
        <v>9</v>
      </c>
      <c r="C1" s="8" t="s">
        <v>3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47" t="s">
        <v>58</v>
      </c>
      <c r="J1" s="47"/>
      <c r="K1" s="47"/>
      <c r="L1" s="47"/>
      <c r="M1" s="47"/>
    </row>
    <row r="2" spans="1:13" ht="18.75" x14ac:dyDescent="0.25">
      <c r="A2" s="32"/>
      <c r="G2" s="3">
        <f>D2+E2-F2</f>
        <v>0</v>
      </c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</row>
    <row r="3" spans="1:13" ht="21" customHeight="1" x14ac:dyDescent="0.25">
      <c r="A3" s="4"/>
      <c r="G3" s="3">
        <f t="shared" ref="G3:G66" si="0">D3+E3-F3</f>
        <v>0</v>
      </c>
      <c r="I3" s="13" t="s">
        <v>36</v>
      </c>
      <c r="J3" s="14"/>
      <c r="K3" s="14"/>
      <c r="L3" s="14"/>
      <c r="M3" s="14">
        <f>J3+K3-L3</f>
        <v>0</v>
      </c>
    </row>
    <row r="4" spans="1:13" ht="23.45" customHeight="1" x14ac:dyDescent="0.25">
      <c r="A4" s="4"/>
      <c r="G4" s="3">
        <f t="shared" si="0"/>
        <v>0</v>
      </c>
      <c r="I4" s="13" t="s">
        <v>52</v>
      </c>
      <c r="J4" s="14"/>
      <c r="K4" s="14"/>
      <c r="L4" s="14"/>
      <c r="M4" s="14">
        <f t="shared" ref="M4:M13" si="1">J4+K4-L4</f>
        <v>0</v>
      </c>
    </row>
    <row r="5" spans="1:13" ht="27" customHeight="1" x14ac:dyDescent="0.25">
      <c r="A5" s="4"/>
      <c r="G5" s="3">
        <f t="shared" si="0"/>
        <v>0</v>
      </c>
      <c r="I5" s="13" t="s">
        <v>37</v>
      </c>
      <c r="J5" s="14"/>
      <c r="K5" s="14"/>
      <c r="L5" s="14"/>
      <c r="M5" s="14">
        <f t="shared" si="1"/>
        <v>0</v>
      </c>
    </row>
    <row r="6" spans="1:13" x14ac:dyDescent="0.25">
      <c r="A6" s="4"/>
      <c r="G6" s="3">
        <f t="shared" si="0"/>
        <v>0</v>
      </c>
      <c r="I6" s="13" t="s">
        <v>53</v>
      </c>
      <c r="J6" s="14"/>
      <c r="K6" s="14"/>
      <c r="L6" s="14"/>
      <c r="M6" s="14">
        <f t="shared" si="1"/>
        <v>0</v>
      </c>
    </row>
    <row r="7" spans="1:13" x14ac:dyDescent="0.25">
      <c r="A7" s="4"/>
      <c r="G7" s="3">
        <f t="shared" si="0"/>
        <v>0</v>
      </c>
      <c r="I7" s="13" t="s">
        <v>54</v>
      </c>
      <c r="J7" s="14"/>
      <c r="K7" s="14"/>
      <c r="L7" s="14"/>
      <c r="M7" s="14">
        <f t="shared" si="1"/>
        <v>0</v>
      </c>
    </row>
    <row r="8" spans="1:13" x14ac:dyDescent="0.25">
      <c r="A8" s="4"/>
      <c r="G8" s="3">
        <f t="shared" si="0"/>
        <v>0</v>
      </c>
      <c r="I8" s="15" t="s">
        <v>38</v>
      </c>
      <c r="J8" s="16"/>
      <c r="K8" s="16"/>
      <c r="L8" s="16"/>
      <c r="M8" s="16"/>
    </row>
    <row r="9" spans="1:13" ht="24" customHeight="1" x14ac:dyDescent="0.25">
      <c r="A9" s="4"/>
      <c r="G9" s="3">
        <f t="shared" si="0"/>
        <v>0</v>
      </c>
      <c r="I9" s="13" t="s">
        <v>36</v>
      </c>
      <c r="J9" s="14"/>
      <c r="K9" s="14"/>
      <c r="L9" s="14"/>
      <c r="M9" s="14">
        <f t="shared" si="1"/>
        <v>0</v>
      </c>
    </row>
    <row r="10" spans="1:13" ht="24" customHeight="1" x14ac:dyDescent="0.25">
      <c r="A10" s="4"/>
      <c r="G10" s="3">
        <f t="shared" si="0"/>
        <v>0</v>
      </c>
      <c r="I10" s="13" t="s">
        <v>55</v>
      </c>
      <c r="J10" s="14"/>
      <c r="K10" s="14"/>
      <c r="L10" s="14"/>
      <c r="M10" s="14">
        <f t="shared" si="1"/>
        <v>0</v>
      </c>
    </row>
    <row r="11" spans="1:13" ht="22.9" customHeight="1" x14ac:dyDescent="0.25">
      <c r="A11" s="4"/>
      <c r="G11" s="3">
        <f t="shared" si="0"/>
        <v>0</v>
      </c>
      <c r="I11" s="13" t="s">
        <v>39</v>
      </c>
      <c r="J11" s="14"/>
      <c r="K11" s="14"/>
      <c r="L11" s="14"/>
      <c r="M11" s="14">
        <f t="shared" si="1"/>
        <v>0</v>
      </c>
    </row>
    <row r="12" spans="1:13" ht="30" customHeight="1" x14ac:dyDescent="0.25">
      <c r="A12" s="4"/>
      <c r="G12" s="3">
        <f t="shared" si="0"/>
        <v>0</v>
      </c>
      <c r="I12" s="13" t="s">
        <v>56</v>
      </c>
      <c r="J12" s="14"/>
      <c r="K12" s="14"/>
      <c r="L12" s="14"/>
      <c r="M12" s="14">
        <f t="shared" si="1"/>
        <v>0</v>
      </c>
    </row>
    <row r="13" spans="1:13" ht="22.9" customHeight="1" x14ac:dyDescent="0.25">
      <c r="A13" s="4"/>
      <c r="G13" s="3">
        <f t="shared" si="0"/>
        <v>0</v>
      </c>
      <c r="I13" s="13" t="s">
        <v>57</v>
      </c>
      <c r="J13" s="14"/>
      <c r="K13" s="14"/>
      <c r="L13" s="14"/>
      <c r="M13" s="14">
        <f t="shared" si="1"/>
        <v>0</v>
      </c>
    </row>
    <row r="14" spans="1:13" x14ac:dyDescent="0.25">
      <c r="A14" s="4"/>
      <c r="G14" s="3">
        <f t="shared" si="0"/>
        <v>0</v>
      </c>
    </row>
    <row r="15" spans="1:13" x14ac:dyDescent="0.25">
      <c r="A15" s="4"/>
      <c r="G15" s="3">
        <f t="shared" si="0"/>
        <v>0</v>
      </c>
    </row>
    <row r="16" spans="1:13" x14ac:dyDescent="0.25">
      <c r="A16" s="4"/>
      <c r="G16" s="3">
        <f t="shared" si="0"/>
        <v>0</v>
      </c>
    </row>
    <row r="17" spans="1:7" x14ac:dyDescent="0.25">
      <c r="A17" s="4"/>
      <c r="G17" s="3">
        <f t="shared" si="0"/>
        <v>0</v>
      </c>
    </row>
    <row r="18" spans="1:7" x14ac:dyDescent="0.25">
      <c r="A18" s="4"/>
      <c r="G18" s="3">
        <f t="shared" si="0"/>
        <v>0</v>
      </c>
    </row>
    <row r="19" spans="1:7" x14ac:dyDescent="0.25">
      <c r="A19" s="4"/>
      <c r="G19" s="3">
        <f t="shared" si="0"/>
        <v>0</v>
      </c>
    </row>
    <row r="20" spans="1:7" x14ac:dyDescent="0.25">
      <c r="A20" s="4"/>
      <c r="G20" s="3">
        <f t="shared" si="0"/>
        <v>0</v>
      </c>
    </row>
    <row r="21" spans="1:7" x14ac:dyDescent="0.25">
      <c r="A21" s="4"/>
      <c r="G21" s="3">
        <f t="shared" si="0"/>
        <v>0</v>
      </c>
    </row>
    <row r="22" spans="1:7" x14ac:dyDescent="0.25">
      <c r="A22" s="4"/>
      <c r="G22" s="3">
        <f t="shared" si="0"/>
        <v>0</v>
      </c>
    </row>
    <row r="23" spans="1:7" x14ac:dyDescent="0.25">
      <c r="A23" s="4"/>
      <c r="G23" s="3">
        <f t="shared" si="0"/>
        <v>0</v>
      </c>
    </row>
    <row r="24" spans="1:7" x14ac:dyDescent="0.25">
      <c r="A24" s="4"/>
      <c r="G24" s="3">
        <f t="shared" si="0"/>
        <v>0</v>
      </c>
    </row>
    <row r="25" spans="1:7" x14ac:dyDescent="0.25">
      <c r="A25" s="4"/>
      <c r="G25" s="3">
        <f t="shared" si="0"/>
        <v>0</v>
      </c>
    </row>
    <row r="26" spans="1:7" x14ac:dyDescent="0.25">
      <c r="A26" s="4"/>
      <c r="G26" s="3">
        <f t="shared" si="0"/>
        <v>0</v>
      </c>
    </row>
    <row r="27" spans="1:7" x14ac:dyDescent="0.25">
      <c r="A27" s="4"/>
      <c r="G27" s="3">
        <f t="shared" si="0"/>
        <v>0</v>
      </c>
    </row>
    <row r="28" spans="1:7" x14ac:dyDescent="0.25">
      <c r="A28" s="4"/>
      <c r="G28" s="3">
        <f t="shared" si="0"/>
        <v>0</v>
      </c>
    </row>
    <row r="29" spans="1:7" x14ac:dyDescent="0.25">
      <c r="A29" s="4"/>
      <c r="G29" s="3">
        <f t="shared" si="0"/>
        <v>0</v>
      </c>
    </row>
    <row r="30" spans="1:7" x14ac:dyDescent="0.25">
      <c r="A30" s="4"/>
      <c r="G30" s="3">
        <f t="shared" si="0"/>
        <v>0</v>
      </c>
    </row>
    <row r="31" spans="1:7" x14ac:dyDescent="0.25">
      <c r="A31" s="4"/>
      <c r="G31" s="3">
        <f t="shared" si="0"/>
        <v>0</v>
      </c>
    </row>
    <row r="32" spans="1:7" x14ac:dyDescent="0.25">
      <c r="A32" s="4"/>
      <c r="G32" s="3">
        <f t="shared" si="0"/>
        <v>0</v>
      </c>
    </row>
    <row r="33" spans="1:7" x14ac:dyDescent="0.25">
      <c r="A33" s="4"/>
      <c r="G33" s="3">
        <f t="shared" si="0"/>
        <v>0</v>
      </c>
    </row>
    <row r="34" spans="1:7" x14ac:dyDescent="0.25">
      <c r="A34" s="4"/>
      <c r="G34" s="3">
        <f t="shared" si="0"/>
        <v>0</v>
      </c>
    </row>
    <row r="35" spans="1:7" x14ac:dyDescent="0.25">
      <c r="A35" s="4"/>
      <c r="G35" s="3">
        <f t="shared" si="0"/>
        <v>0</v>
      </c>
    </row>
    <row r="36" spans="1:7" x14ac:dyDescent="0.25">
      <c r="A36" s="4"/>
      <c r="G36" s="3">
        <f t="shared" si="0"/>
        <v>0</v>
      </c>
    </row>
    <row r="37" spans="1:7" x14ac:dyDescent="0.25">
      <c r="A37" s="4"/>
      <c r="G37" s="3">
        <f t="shared" si="0"/>
        <v>0</v>
      </c>
    </row>
    <row r="38" spans="1:7" x14ac:dyDescent="0.25">
      <c r="A38" s="4"/>
      <c r="G38" s="3">
        <f t="shared" si="0"/>
        <v>0</v>
      </c>
    </row>
    <row r="39" spans="1:7" x14ac:dyDescent="0.25">
      <c r="A39" s="4"/>
      <c r="G39" s="3">
        <f t="shared" si="0"/>
        <v>0</v>
      </c>
    </row>
    <row r="40" spans="1:7" x14ac:dyDescent="0.25">
      <c r="A40" s="4"/>
      <c r="G40" s="3">
        <f t="shared" si="0"/>
        <v>0</v>
      </c>
    </row>
    <row r="41" spans="1:7" x14ac:dyDescent="0.25">
      <c r="A41" s="4"/>
      <c r="G41" s="3">
        <f t="shared" si="0"/>
        <v>0</v>
      </c>
    </row>
    <row r="42" spans="1:7" x14ac:dyDescent="0.25">
      <c r="A42" s="4"/>
      <c r="G42" s="3">
        <f t="shared" si="0"/>
        <v>0</v>
      </c>
    </row>
    <row r="43" spans="1:7" x14ac:dyDescent="0.25">
      <c r="A43" s="4"/>
      <c r="G43" s="3">
        <f t="shared" si="0"/>
        <v>0</v>
      </c>
    </row>
    <row r="44" spans="1:7" x14ac:dyDescent="0.25">
      <c r="A44" s="4"/>
      <c r="G44" s="3">
        <f t="shared" si="0"/>
        <v>0</v>
      </c>
    </row>
    <row r="45" spans="1:7" x14ac:dyDescent="0.25">
      <c r="A45" s="4"/>
      <c r="G45" s="3">
        <f t="shared" si="0"/>
        <v>0</v>
      </c>
    </row>
    <row r="46" spans="1:7" x14ac:dyDescent="0.25">
      <c r="A46" s="4"/>
      <c r="G46" s="3">
        <f t="shared" si="0"/>
        <v>0</v>
      </c>
    </row>
    <row r="47" spans="1:7" x14ac:dyDescent="0.25">
      <c r="A47" s="4"/>
      <c r="G47" s="3">
        <f t="shared" si="0"/>
        <v>0</v>
      </c>
    </row>
    <row r="48" spans="1:7" x14ac:dyDescent="0.25">
      <c r="A48" s="4"/>
      <c r="G48" s="3">
        <f t="shared" si="0"/>
        <v>0</v>
      </c>
    </row>
    <row r="49" spans="1:7" x14ac:dyDescent="0.25">
      <c r="A49" s="4"/>
      <c r="G49" s="3">
        <f t="shared" si="0"/>
        <v>0</v>
      </c>
    </row>
    <row r="50" spans="1:7" x14ac:dyDescent="0.25">
      <c r="A50" s="4"/>
      <c r="G50" s="3">
        <f t="shared" si="0"/>
        <v>0</v>
      </c>
    </row>
    <row r="51" spans="1:7" x14ac:dyDescent="0.25">
      <c r="A51" s="4"/>
      <c r="G51" s="3">
        <f t="shared" si="0"/>
        <v>0</v>
      </c>
    </row>
    <row r="52" spans="1:7" x14ac:dyDescent="0.25">
      <c r="A52" s="4"/>
      <c r="G52" s="3">
        <f t="shared" si="0"/>
        <v>0</v>
      </c>
    </row>
    <row r="53" spans="1:7" x14ac:dyDescent="0.25">
      <c r="A53" s="4"/>
      <c r="G53" s="3">
        <f t="shared" si="0"/>
        <v>0</v>
      </c>
    </row>
    <row r="54" spans="1:7" x14ac:dyDescent="0.25">
      <c r="A54" s="4"/>
      <c r="G54" s="3">
        <f t="shared" si="0"/>
        <v>0</v>
      </c>
    </row>
    <row r="55" spans="1:7" x14ac:dyDescent="0.25">
      <c r="A55" s="4"/>
      <c r="G55" s="3">
        <f t="shared" si="0"/>
        <v>0</v>
      </c>
    </row>
    <row r="56" spans="1:7" x14ac:dyDescent="0.25">
      <c r="A56" s="4"/>
      <c r="G56" s="3">
        <f t="shared" si="0"/>
        <v>0</v>
      </c>
    </row>
    <row r="57" spans="1:7" x14ac:dyDescent="0.25">
      <c r="A57" s="4"/>
      <c r="G57" s="3">
        <f t="shared" si="0"/>
        <v>0</v>
      </c>
    </row>
    <row r="58" spans="1:7" x14ac:dyDescent="0.25">
      <c r="A58" s="4"/>
      <c r="G58" s="3">
        <f t="shared" si="0"/>
        <v>0</v>
      </c>
    </row>
    <row r="59" spans="1:7" x14ac:dyDescent="0.25">
      <c r="A59" s="4"/>
      <c r="G59" s="3">
        <f t="shared" si="0"/>
        <v>0</v>
      </c>
    </row>
    <row r="60" spans="1:7" x14ac:dyDescent="0.25">
      <c r="A60" s="4"/>
      <c r="G60" s="3">
        <f t="shared" si="0"/>
        <v>0</v>
      </c>
    </row>
    <row r="61" spans="1:7" x14ac:dyDescent="0.25">
      <c r="A61" s="4"/>
      <c r="G61" s="3">
        <f t="shared" si="0"/>
        <v>0</v>
      </c>
    </row>
    <row r="62" spans="1:7" x14ac:dyDescent="0.25">
      <c r="A62" s="4"/>
      <c r="G62" s="3">
        <f t="shared" si="0"/>
        <v>0</v>
      </c>
    </row>
    <row r="63" spans="1:7" x14ac:dyDescent="0.25">
      <c r="A63" s="4"/>
      <c r="G63" s="3">
        <f t="shared" si="0"/>
        <v>0</v>
      </c>
    </row>
    <row r="64" spans="1:7" x14ac:dyDescent="0.25">
      <c r="A64" s="4"/>
      <c r="G64" s="3">
        <f t="shared" si="0"/>
        <v>0</v>
      </c>
    </row>
    <row r="65" spans="1:7" x14ac:dyDescent="0.25">
      <c r="A65" s="4"/>
      <c r="G65" s="3">
        <f t="shared" si="0"/>
        <v>0</v>
      </c>
    </row>
    <row r="66" spans="1:7" x14ac:dyDescent="0.25">
      <c r="A66" s="4"/>
      <c r="G66" s="3">
        <f t="shared" si="0"/>
        <v>0</v>
      </c>
    </row>
    <row r="67" spans="1:7" x14ac:dyDescent="0.25">
      <c r="A67" s="4"/>
      <c r="G67" s="3">
        <f t="shared" ref="G67:G130" si="2">D67+E67-F67</f>
        <v>0</v>
      </c>
    </row>
    <row r="68" spans="1:7" x14ac:dyDescent="0.25">
      <c r="A68" s="4"/>
      <c r="G68" s="3">
        <f t="shared" si="2"/>
        <v>0</v>
      </c>
    </row>
    <row r="69" spans="1:7" x14ac:dyDescent="0.25">
      <c r="A69" s="4"/>
      <c r="G69" s="3">
        <f t="shared" si="2"/>
        <v>0</v>
      </c>
    </row>
    <row r="70" spans="1:7" x14ac:dyDescent="0.25">
      <c r="A70" s="4"/>
      <c r="G70" s="3">
        <f t="shared" si="2"/>
        <v>0</v>
      </c>
    </row>
    <row r="71" spans="1:7" x14ac:dyDescent="0.25">
      <c r="A71" s="4"/>
      <c r="G71" s="3">
        <f t="shared" si="2"/>
        <v>0</v>
      </c>
    </row>
    <row r="72" spans="1:7" x14ac:dyDescent="0.25">
      <c r="A72" s="4"/>
      <c r="G72" s="3">
        <f t="shared" si="2"/>
        <v>0</v>
      </c>
    </row>
    <row r="73" spans="1:7" x14ac:dyDescent="0.25">
      <c r="A73" s="4"/>
      <c r="G73" s="3">
        <f t="shared" si="2"/>
        <v>0</v>
      </c>
    </row>
    <row r="74" spans="1:7" x14ac:dyDescent="0.25">
      <c r="A74" s="4"/>
      <c r="G74" s="3">
        <f t="shared" si="2"/>
        <v>0</v>
      </c>
    </row>
    <row r="75" spans="1:7" x14ac:dyDescent="0.25">
      <c r="A75" s="4"/>
      <c r="G75" s="3">
        <f t="shared" si="2"/>
        <v>0</v>
      </c>
    </row>
    <row r="76" spans="1:7" x14ac:dyDescent="0.25">
      <c r="A76" s="4"/>
      <c r="G76" s="3">
        <f t="shared" si="2"/>
        <v>0</v>
      </c>
    </row>
    <row r="77" spans="1:7" x14ac:dyDescent="0.25">
      <c r="A77" s="4"/>
      <c r="G77" s="3">
        <f t="shared" si="2"/>
        <v>0</v>
      </c>
    </row>
    <row r="78" spans="1:7" x14ac:dyDescent="0.25">
      <c r="A78" s="4"/>
      <c r="G78" s="3">
        <f t="shared" si="2"/>
        <v>0</v>
      </c>
    </row>
    <row r="79" spans="1:7" x14ac:dyDescent="0.25">
      <c r="A79" s="4"/>
      <c r="G79" s="3">
        <f t="shared" si="2"/>
        <v>0</v>
      </c>
    </row>
    <row r="80" spans="1:7" x14ac:dyDescent="0.25">
      <c r="A80" s="4"/>
      <c r="G80" s="3">
        <f t="shared" si="2"/>
        <v>0</v>
      </c>
    </row>
    <row r="81" spans="1:7" x14ac:dyDescent="0.25">
      <c r="A81" s="4"/>
      <c r="G81" s="3">
        <f t="shared" si="2"/>
        <v>0</v>
      </c>
    </row>
    <row r="82" spans="1:7" x14ac:dyDescent="0.25">
      <c r="A82" s="4"/>
      <c r="G82" s="3">
        <f t="shared" si="2"/>
        <v>0</v>
      </c>
    </row>
    <row r="83" spans="1:7" x14ac:dyDescent="0.25">
      <c r="A83" s="4"/>
      <c r="G83" s="3">
        <f t="shared" si="2"/>
        <v>0</v>
      </c>
    </row>
    <row r="84" spans="1:7" x14ac:dyDescent="0.25">
      <c r="A84" s="4"/>
      <c r="G84" s="3">
        <f t="shared" si="2"/>
        <v>0</v>
      </c>
    </row>
    <row r="85" spans="1:7" x14ac:dyDescent="0.25">
      <c r="A85" s="4"/>
      <c r="G85" s="3">
        <f t="shared" si="2"/>
        <v>0</v>
      </c>
    </row>
    <row r="86" spans="1:7" x14ac:dyDescent="0.25">
      <c r="A86" s="4"/>
      <c r="G86" s="3">
        <f t="shared" si="2"/>
        <v>0</v>
      </c>
    </row>
    <row r="87" spans="1:7" x14ac:dyDescent="0.25">
      <c r="A87" s="4"/>
      <c r="G87" s="3">
        <f t="shared" si="2"/>
        <v>0</v>
      </c>
    </row>
    <row r="88" spans="1:7" x14ac:dyDescent="0.25">
      <c r="A88" s="4"/>
      <c r="G88" s="3">
        <f t="shared" si="2"/>
        <v>0</v>
      </c>
    </row>
    <row r="89" spans="1:7" x14ac:dyDescent="0.25">
      <c r="A89" s="4"/>
      <c r="G89" s="3">
        <f t="shared" si="2"/>
        <v>0</v>
      </c>
    </row>
    <row r="90" spans="1:7" x14ac:dyDescent="0.25">
      <c r="A90" s="4"/>
      <c r="G90" s="3">
        <f t="shared" si="2"/>
        <v>0</v>
      </c>
    </row>
    <row r="91" spans="1:7" x14ac:dyDescent="0.25">
      <c r="A91" s="4"/>
      <c r="G91" s="3">
        <f t="shared" si="2"/>
        <v>0</v>
      </c>
    </row>
    <row r="92" spans="1:7" x14ac:dyDescent="0.25">
      <c r="A92" s="4"/>
      <c r="G92" s="3">
        <f t="shared" si="2"/>
        <v>0</v>
      </c>
    </row>
    <row r="93" spans="1:7" x14ac:dyDescent="0.25">
      <c r="A93" s="4"/>
      <c r="G93" s="3">
        <f t="shared" si="2"/>
        <v>0</v>
      </c>
    </row>
    <row r="94" spans="1:7" x14ac:dyDescent="0.25">
      <c r="A94" s="4"/>
      <c r="G94" s="3">
        <f t="shared" si="2"/>
        <v>0</v>
      </c>
    </row>
    <row r="95" spans="1:7" x14ac:dyDescent="0.25">
      <c r="A95" s="4"/>
      <c r="G95" s="3">
        <f t="shared" si="2"/>
        <v>0</v>
      </c>
    </row>
    <row r="96" spans="1:7" x14ac:dyDescent="0.25">
      <c r="A96" s="4"/>
      <c r="G96" s="3">
        <f t="shared" si="2"/>
        <v>0</v>
      </c>
    </row>
    <row r="97" spans="1:7" x14ac:dyDescent="0.25">
      <c r="A97" s="4"/>
      <c r="G97" s="3">
        <f t="shared" si="2"/>
        <v>0</v>
      </c>
    </row>
    <row r="98" spans="1:7" x14ac:dyDescent="0.25">
      <c r="A98" s="4"/>
      <c r="G98" s="3">
        <f t="shared" si="2"/>
        <v>0</v>
      </c>
    </row>
    <row r="99" spans="1:7" x14ac:dyDescent="0.25">
      <c r="A99" s="4"/>
      <c r="G99" s="3">
        <f t="shared" si="2"/>
        <v>0</v>
      </c>
    </row>
    <row r="100" spans="1:7" x14ac:dyDescent="0.25">
      <c r="A100" s="4"/>
      <c r="G100" s="3">
        <f t="shared" si="2"/>
        <v>0</v>
      </c>
    </row>
    <row r="101" spans="1:7" x14ac:dyDescent="0.25">
      <c r="A101" s="4"/>
      <c r="G101" s="3">
        <f t="shared" si="2"/>
        <v>0</v>
      </c>
    </row>
    <row r="102" spans="1:7" x14ac:dyDescent="0.25">
      <c r="A102" s="4"/>
      <c r="G102" s="3">
        <f t="shared" si="2"/>
        <v>0</v>
      </c>
    </row>
    <row r="103" spans="1:7" x14ac:dyDescent="0.25">
      <c r="A103" s="4"/>
      <c r="G103" s="3">
        <f t="shared" si="2"/>
        <v>0</v>
      </c>
    </row>
    <row r="104" spans="1:7" x14ac:dyDescent="0.25">
      <c r="A104" s="4"/>
      <c r="G104" s="3">
        <f t="shared" si="2"/>
        <v>0</v>
      </c>
    </row>
    <row r="105" spans="1:7" x14ac:dyDescent="0.25">
      <c r="A105" s="4"/>
      <c r="G105" s="3">
        <f t="shared" si="2"/>
        <v>0</v>
      </c>
    </row>
    <row r="106" spans="1:7" x14ac:dyDescent="0.25">
      <c r="A106" s="4"/>
      <c r="G106" s="3">
        <f t="shared" si="2"/>
        <v>0</v>
      </c>
    </row>
    <row r="107" spans="1:7" x14ac:dyDescent="0.25">
      <c r="A107" s="4"/>
      <c r="G107" s="3">
        <f t="shared" si="2"/>
        <v>0</v>
      </c>
    </row>
    <row r="108" spans="1:7" x14ac:dyDescent="0.25">
      <c r="A108" s="4"/>
      <c r="G108" s="3">
        <f t="shared" si="2"/>
        <v>0</v>
      </c>
    </row>
    <row r="109" spans="1:7" x14ac:dyDescent="0.25">
      <c r="A109" s="4"/>
      <c r="G109" s="3">
        <f t="shared" si="2"/>
        <v>0</v>
      </c>
    </row>
    <row r="110" spans="1:7" x14ac:dyDescent="0.25">
      <c r="A110" s="4"/>
      <c r="G110" s="3">
        <f t="shared" si="2"/>
        <v>0</v>
      </c>
    </row>
    <row r="111" spans="1:7" x14ac:dyDescent="0.25">
      <c r="A111" s="4"/>
      <c r="G111" s="3">
        <f t="shared" si="2"/>
        <v>0</v>
      </c>
    </row>
    <row r="112" spans="1:7" x14ac:dyDescent="0.25">
      <c r="A112" s="4"/>
      <c r="G112" s="3">
        <f t="shared" si="2"/>
        <v>0</v>
      </c>
    </row>
    <row r="113" spans="1:7" x14ac:dyDescent="0.25">
      <c r="A113" s="4"/>
      <c r="G113" s="3">
        <f t="shared" si="2"/>
        <v>0</v>
      </c>
    </row>
    <row r="114" spans="1:7" x14ac:dyDescent="0.25">
      <c r="A114" s="4"/>
      <c r="G114" s="3">
        <f t="shared" si="2"/>
        <v>0</v>
      </c>
    </row>
    <row r="115" spans="1:7" x14ac:dyDescent="0.25">
      <c r="A115" s="4"/>
      <c r="G115" s="3">
        <f t="shared" si="2"/>
        <v>0</v>
      </c>
    </row>
    <row r="116" spans="1:7" x14ac:dyDescent="0.25">
      <c r="A116" s="4"/>
      <c r="G116" s="3">
        <f t="shared" si="2"/>
        <v>0</v>
      </c>
    </row>
    <row r="117" spans="1:7" x14ac:dyDescent="0.25">
      <c r="A117" s="4"/>
      <c r="G117" s="3">
        <f t="shared" si="2"/>
        <v>0</v>
      </c>
    </row>
    <row r="118" spans="1:7" x14ac:dyDescent="0.25">
      <c r="A118" s="4"/>
      <c r="G118" s="3">
        <f t="shared" si="2"/>
        <v>0</v>
      </c>
    </row>
    <row r="119" spans="1:7" x14ac:dyDescent="0.25">
      <c r="A119" s="4"/>
      <c r="G119" s="3">
        <f t="shared" si="2"/>
        <v>0</v>
      </c>
    </row>
    <row r="120" spans="1:7" x14ac:dyDescent="0.25">
      <c r="A120" s="4"/>
      <c r="G120" s="3">
        <f t="shared" si="2"/>
        <v>0</v>
      </c>
    </row>
    <row r="121" spans="1:7" x14ac:dyDescent="0.25">
      <c r="A121" s="4"/>
      <c r="G121" s="3">
        <f t="shared" si="2"/>
        <v>0</v>
      </c>
    </row>
    <row r="122" spans="1:7" x14ac:dyDescent="0.25">
      <c r="A122" s="4"/>
      <c r="G122" s="3">
        <f t="shared" si="2"/>
        <v>0</v>
      </c>
    </row>
    <row r="123" spans="1:7" x14ac:dyDescent="0.25">
      <c r="A123" s="4"/>
      <c r="G123" s="3">
        <f t="shared" si="2"/>
        <v>0</v>
      </c>
    </row>
    <row r="124" spans="1:7" x14ac:dyDescent="0.25">
      <c r="A124" s="4"/>
      <c r="G124" s="3">
        <f t="shared" si="2"/>
        <v>0</v>
      </c>
    </row>
    <row r="125" spans="1:7" x14ac:dyDescent="0.25">
      <c r="A125" s="4"/>
      <c r="G125" s="3">
        <f t="shared" si="2"/>
        <v>0</v>
      </c>
    </row>
    <row r="126" spans="1:7" x14ac:dyDescent="0.25">
      <c r="A126" s="4"/>
      <c r="G126" s="3">
        <f t="shared" si="2"/>
        <v>0</v>
      </c>
    </row>
    <row r="127" spans="1:7" x14ac:dyDescent="0.25">
      <c r="A127" s="4"/>
      <c r="G127" s="3">
        <f t="shared" si="2"/>
        <v>0</v>
      </c>
    </row>
    <row r="128" spans="1:7" x14ac:dyDescent="0.25">
      <c r="A128" s="4"/>
      <c r="G128" s="3">
        <f t="shared" si="2"/>
        <v>0</v>
      </c>
    </row>
    <row r="129" spans="1:7" x14ac:dyDescent="0.25">
      <c r="A129" s="4"/>
      <c r="G129" s="3">
        <f t="shared" si="2"/>
        <v>0</v>
      </c>
    </row>
    <row r="130" spans="1:7" x14ac:dyDescent="0.25">
      <c r="A130" s="4"/>
      <c r="G130" s="3">
        <f t="shared" si="2"/>
        <v>0</v>
      </c>
    </row>
    <row r="131" spans="1:7" x14ac:dyDescent="0.25">
      <c r="A131" s="4"/>
      <c r="G131" s="3">
        <f t="shared" ref="G131:G194" si="3">D131+E131-F131</f>
        <v>0</v>
      </c>
    </row>
    <row r="132" spans="1:7" x14ac:dyDescent="0.25">
      <c r="A132" s="4"/>
      <c r="G132" s="3">
        <f t="shared" si="3"/>
        <v>0</v>
      </c>
    </row>
    <row r="133" spans="1:7" x14ac:dyDescent="0.25">
      <c r="A133" s="4"/>
      <c r="G133" s="3">
        <f t="shared" si="3"/>
        <v>0</v>
      </c>
    </row>
    <row r="134" spans="1:7" x14ac:dyDescent="0.25">
      <c r="A134" s="4"/>
      <c r="G134" s="3">
        <f t="shared" si="3"/>
        <v>0</v>
      </c>
    </row>
    <row r="135" spans="1:7" x14ac:dyDescent="0.25">
      <c r="A135" s="4"/>
      <c r="G135" s="3">
        <f t="shared" si="3"/>
        <v>0</v>
      </c>
    </row>
    <row r="136" spans="1:7" x14ac:dyDescent="0.25">
      <c r="A136" s="4"/>
      <c r="G136" s="3">
        <f t="shared" si="3"/>
        <v>0</v>
      </c>
    </row>
    <row r="137" spans="1:7" x14ac:dyDescent="0.25">
      <c r="A137" s="4"/>
      <c r="G137" s="3">
        <f t="shared" si="3"/>
        <v>0</v>
      </c>
    </row>
    <row r="138" spans="1:7" x14ac:dyDescent="0.25">
      <c r="A138" s="4"/>
      <c r="G138" s="3">
        <f t="shared" si="3"/>
        <v>0</v>
      </c>
    </row>
    <row r="139" spans="1:7" x14ac:dyDescent="0.25">
      <c r="A139" s="4"/>
      <c r="G139" s="3">
        <f t="shared" si="3"/>
        <v>0</v>
      </c>
    </row>
    <row r="140" spans="1:7" x14ac:dyDescent="0.25">
      <c r="A140" s="4"/>
      <c r="G140" s="3">
        <f t="shared" si="3"/>
        <v>0</v>
      </c>
    </row>
    <row r="141" spans="1:7" x14ac:dyDescent="0.25">
      <c r="A141" s="4"/>
      <c r="G141" s="3">
        <f t="shared" si="3"/>
        <v>0</v>
      </c>
    </row>
    <row r="142" spans="1:7" x14ac:dyDescent="0.25">
      <c r="A142" s="4"/>
      <c r="G142" s="3">
        <f t="shared" si="3"/>
        <v>0</v>
      </c>
    </row>
    <row r="143" spans="1:7" x14ac:dyDescent="0.25">
      <c r="A143" s="4"/>
      <c r="G143" s="3">
        <f t="shared" si="3"/>
        <v>0</v>
      </c>
    </row>
    <row r="144" spans="1:7" x14ac:dyDescent="0.25">
      <c r="A144" s="4"/>
      <c r="G144" s="3">
        <f t="shared" si="3"/>
        <v>0</v>
      </c>
    </row>
    <row r="145" spans="1:7" x14ac:dyDescent="0.25">
      <c r="A145" s="4"/>
      <c r="G145" s="3">
        <f t="shared" si="3"/>
        <v>0</v>
      </c>
    </row>
    <row r="146" spans="1:7" x14ac:dyDescent="0.25">
      <c r="A146" s="4"/>
      <c r="G146" s="3">
        <f t="shared" si="3"/>
        <v>0</v>
      </c>
    </row>
    <row r="147" spans="1:7" x14ac:dyDescent="0.25">
      <c r="A147" s="4"/>
      <c r="G147" s="3">
        <f t="shared" si="3"/>
        <v>0</v>
      </c>
    </row>
    <row r="148" spans="1:7" x14ac:dyDescent="0.25">
      <c r="A148" s="4"/>
      <c r="G148" s="3">
        <f t="shared" si="3"/>
        <v>0</v>
      </c>
    </row>
    <row r="149" spans="1:7" x14ac:dyDescent="0.25">
      <c r="A149" s="4"/>
      <c r="G149" s="3">
        <f t="shared" si="3"/>
        <v>0</v>
      </c>
    </row>
    <row r="150" spans="1:7" x14ac:dyDescent="0.25">
      <c r="A150" s="4"/>
      <c r="G150" s="3">
        <f t="shared" si="3"/>
        <v>0</v>
      </c>
    </row>
    <row r="151" spans="1:7" x14ac:dyDescent="0.25">
      <c r="A151" s="4"/>
      <c r="G151" s="3">
        <f t="shared" si="3"/>
        <v>0</v>
      </c>
    </row>
    <row r="152" spans="1:7" x14ac:dyDescent="0.25">
      <c r="A152" s="4"/>
      <c r="G152" s="3">
        <f t="shared" si="3"/>
        <v>0</v>
      </c>
    </row>
    <row r="153" spans="1:7" x14ac:dyDescent="0.25">
      <c r="A153" s="4"/>
      <c r="G153" s="3">
        <f t="shared" si="3"/>
        <v>0</v>
      </c>
    </row>
    <row r="154" spans="1:7" x14ac:dyDescent="0.25">
      <c r="A154" s="4"/>
      <c r="G154" s="3">
        <f t="shared" si="3"/>
        <v>0</v>
      </c>
    </row>
    <row r="155" spans="1:7" x14ac:dyDescent="0.25">
      <c r="A155" s="4"/>
      <c r="G155" s="3">
        <f t="shared" si="3"/>
        <v>0</v>
      </c>
    </row>
    <row r="156" spans="1:7" x14ac:dyDescent="0.25">
      <c r="A156" s="4"/>
      <c r="G156" s="3">
        <f t="shared" si="3"/>
        <v>0</v>
      </c>
    </row>
    <row r="157" spans="1:7" x14ac:dyDescent="0.25">
      <c r="A157" s="4"/>
      <c r="G157" s="3">
        <f t="shared" si="3"/>
        <v>0</v>
      </c>
    </row>
    <row r="158" spans="1:7" x14ac:dyDescent="0.25">
      <c r="A158" s="4"/>
      <c r="G158" s="3">
        <f t="shared" si="3"/>
        <v>0</v>
      </c>
    </row>
    <row r="159" spans="1:7" x14ac:dyDescent="0.25">
      <c r="A159" s="4"/>
      <c r="G159" s="3">
        <f t="shared" si="3"/>
        <v>0</v>
      </c>
    </row>
    <row r="160" spans="1:7" x14ac:dyDescent="0.25">
      <c r="A160" s="4"/>
      <c r="G160" s="3">
        <f t="shared" si="3"/>
        <v>0</v>
      </c>
    </row>
    <row r="161" spans="1:7" x14ac:dyDescent="0.25">
      <c r="A161" s="4"/>
      <c r="G161" s="3">
        <f t="shared" si="3"/>
        <v>0</v>
      </c>
    </row>
    <row r="162" spans="1:7" x14ac:dyDescent="0.25">
      <c r="A162" s="4"/>
      <c r="G162" s="3">
        <f t="shared" si="3"/>
        <v>0</v>
      </c>
    </row>
    <row r="163" spans="1:7" x14ac:dyDescent="0.25">
      <c r="A163" s="4"/>
      <c r="G163" s="3">
        <f t="shared" si="3"/>
        <v>0</v>
      </c>
    </row>
    <row r="164" spans="1:7" x14ac:dyDescent="0.25">
      <c r="A164" s="4"/>
      <c r="G164" s="3">
        <f t="shared" si="3"/>
        <v>0</v>
      </c>
    </row>
    <row r="165" spans="1:7" x14ac:dyDescent="0.25">
      <c r="A165" s="4"/>
      <c r="G165" s="3">
        <f t="shared" si="3"/>
        <v>0</v>
      </c>
    </row>
    <row r="166" spans="1:7" x14ac:dyDescent="0.25">
      <c r="A166" s="4"/>
      <c r="G166" s="3">
        <f t="shared" si="3"/>
        <v>0</v>
      </c>
    </row>
    <row r="167" spans="1:7" x14ac:dyDescent="0.25">
      <c r="A167" s="4"/>
      <c r="G167" s="3">
        <f t="shared" si="3"/>
        <v>0</v>
      </c>
    </row>
    <row r="168" spans="1:7" x14ac:dyDescent="0.25">
      <c r="A168" s="4"/>
      <c r="G168" s="3">
        <f t="shared" si="3"/>
        <v>0</v>
      </c>
    </row>
    <row r="169" spans="1:7" x14ac:dyDescent="0.25">
      <c r="A169" s="4"/>
      <c r="G169" s="3">
        <f t="shared" si="3"/>
        <v>0</v>
      </c>
    </row>
    <row r="170" spans="1:7" x14ac:dyDescent="0.25">
      <c r="A170" s="4"/>
      <c r="G170" s="3">
        <f t="shared" si="3"/>
        <v>0</v>
      </c>
    </row>
    <row r="171" spans="1:7" x14ac:dyDescent="0.25">
      <c r="A171" s="4"/>
      <c r="G171" s="3">
        <f t="shared" si="3"/>
        <v>0</v>
      </c>
    </row>
    <row r="172" spans="1:7" x14ac:dyDescent="0.25">
      <c r="A172" s="4"/>
      <c r="G172" s="3">
        <f t="shared" si="3"/>
        <v>0</v>
      </c>
    </row>
    <row r="173" spans="1:7" x14ac:dyDescent="0.25">
      <c r="A173" s="4"/>
      <c r="G173" s="3">
        <f t="shared" si="3"/>
        <v>0</v>
      </c>
    </row>
    <row r="174" spans="1:7" x14ac:dyDescent="0.25">
      <c r="A174" s="4"/>
      <c r="G174" s="3">
        <f t="shared" si="3"/>
        <v>0</v>
      </c>
    </row>
    <row r="175" spans="1:7" x14ac:dyDescent="0.25">
      <c r="A175" s="4"/>
      <c r="G175" s="3">
        <f t="shared" si="3"/>
        <v>0</v>
      </c>
    </row>
    <row r="176" spans="1:7" x14ac:dyDescent="0.25">
      <c r="A176" s="4"/>
      <c r="G176" s="3">
        <f t="shared" si="3"/>
        <v>0</v>
      </c>
    </row>
    <row r="177" spans="1:7" x14ac:dyDescent="0.25">
      <c r="A177" s="4"/>
      <c r="G177" s="3">
        <f t="shared" si="3"/>
        <v>0</v>
      </c>
    </row>
    <row r="178" spans="1:7" x14ac:dyDescent="0.25">
      <c r="A178" s="4"/>
      <c r="G178" s="3">
        <f t="shared" si="3"/>
        <v>0</v>
      </c>
    </row>
    <row r="179" spans="1:7" x14ac:dyDescent="0.25">
      <c r="A179" s="4"/>
      <c r="G179" s="3">
        <f t="shared" si="3"/>
        <v>0</v>
      </c>
    </row>
    <row r="180" spans="1:7" x14ac:dyDescent="0.25">
      <c r="A180" s="4"/>
      <c r="G180" s="3">
        <f t="shared" si="3"/>
        <v>0</v>
      </c>
    </row>
    <row r="181" spans="1:7" x14ac:dyDescent="0.25">
      <c r="A181" s="4"/>
      <c r="G181" s="3">
        <f t="shared" si="3"/>
        <v>0</v>
      </c>
    </row>
    <row r="182" spans="1:7" x14ac:dyDescent="0.25">
      <c r="A182" s="4"/>
      <c r="G182" s="3">
        <f t="shared" si="3"/>
        <v>0</v>
      </c>
    </row>
    <row r="183" spans="1:7" x14ac:dyDescent="0.25">
      <c r="A183" s="4"/>
      <c r="G183" s="3">
        <f t="shared" si="3"/>
        <v>0</v>
      </c>
    </row>
    <row r="184" spans="1:7" x14ac:dyDescent="0.25">
      <c r="A184" s="4"/>
      <c r="G184" s="3">
        <f t="shared" si="3"/>
        <v>0</v>
      </c>
    </row>
    <row r="185" spans="1:7" x14ac:dyDescent="0.25">
      <c r="A185" s="4"/>
      <c r="G185" s="3">
        <f t="shared" si="3"/>
        <v>0</v>
      </c>
    </row>
    <row r="186" spans="1:7" x14ac:dyDescent="0.25">
      <c r="A186" s="4"/>
      <c r="G186" s="3">
        <f t="shared" si="3"/>
        <v>0</v>
      </c>
    </row>
    <row r="187" spans="1:7" x14ac:dyDescent="0.25">
      <c r="A187" s="4"/>
      <c r="G187" s="3">
        <f t="shared" si="3"/>
        <v>0</v>
      </c>
    </row>
    <row r="188" spans="1:7" x14ac:dyDescent="0.25">
      <c r="A188" s="4"/>
      <c r="G188" s="3">
        <f t="shared" si="3"/>
        <v>0</v>
      </c>
    </row>
    <row r="189" spans="1:7" x14ac:dyDescent="0.25">
      <c r="A189" s="4"/>
      <c r="G189" s="3">
        <f t="shared" si="3"/>
        <v>0</v>
      </c>
    </row>
    <row r="190" spans="1:7" x14ac:dyDescent="0.25">
      <c r="A190" s="4"/>
      <c r="G190" s="3">
        <f t="shared" si="3"/>
        <v>0</v>
      </c>
    </row>
    <row r="191" spans="1:7" x14ac:dyDescent="0.25">
      <c r="A191" s="4"/>
      <c r="G191" s="3">
        <f t="shared" si="3"/>
        <v>0</v>
      </c>
    </row>
    <row r="192" spans="1:7" x14ac:dyDescent="0.25">
      <c r="A192" s="4"/>
      <c r="G192" s="3">
        <f t="shared" si="3"/>
        <v>0</v>
      </c>
    </row>
    <row r="193" spans="1:7" x14ac:dyDescent="0.25">
      <c r="A193" s="4"/>
      <c r="G193" s="3">
        <f t="shared" si="3"/>
        <v>0</v>
      </c>
    </row>
    <row r="194" spans="1:7" x14ac:dyDescent="0.25">
      <c r="A194" s="4"/>
      <c r="G194" s="3">
        <f t="shared" si="3"/>
        <v>0</v>
      </c>
    </row>
    <row r="195" spans="1:7" x14ac:dyDescent="0.25">
      <c r="A195" s="4"/>
      <c r="G195" s="3">
        <f t="shared" ref="G195:G258" si="4">D195+E195-F195</f>
        <v>0</v>
      </c>
    </row>
    <row r="196" spans="1:7" x14ac:dyDescent="0.25">
      <c r="A196" s="4"/>
      <c r="G196" s="3">
        <f t="shared" si="4"/>
        <v>0</v>
      </c>
    </row>
    <row r="197" spans="1:7" x14ac:dyDescent="0.25">
      <c r="A197" s="4"/>
      <c r="G197" s="3">
        <f t="shared" si="4"/>
        <v>0</v>
      </c>
    </row>
    <row r="198" spans="1:7" x14ac:dyDescent="0.25">
      <c r="A198" s="4"/>
      <c r="G198" s="3">
        <f t="shared" si="4"/>
        <v>0</v>
      </c>
    </row>
    <row r="199" spans="1:7" x14ac:dyDescent="0.25">
      <c r="A199" s="4"/>
      <c r="G199" s="3">
        <f t="shared" si="4"/>
        <v>0</v>
      </c>
    </row>
    <row r="200" spans="1:7" x14ac:dyDescent="0.25">
      <c r="A200" s="4"/>
      <c r="G200" s="3">
        <f t="shared" si="4"/>
        <v>0</v>
      </c>
    </row>
    <row r="201" spans="1:7" x14ac:dyDescent="0.25">
      <c r="A201" s="4"/>
      <c r="G201" s="3">
        <f t="shared" si="4"/>
        <v>0</v>
      </c>
    </row>
    <row r="202" spans="1:7" x14ac:dyDescent="0.25">
      <c r="A202" s="4"/>
      <c r="G202" s="3">
        <f t="shared" si="4"/>
        <v>0</v>
      </c>
    </row>
    <row r="203" spans="1:7" x14ac:dyDescent="0.25">
      <c r="A203" s="4"/>
      <c r="G203" s="3">
        <f t="shared" si="4"/>
        <v>0</v>
      </c>
    </row>
    <row r="204" spans="1:7" x14ac:dyDescent="0.25">
      <c r="A204" s="4"/>
      <c r="G204" s="3">
        <f t="shared" si="4"/>
        <v>0</v>
      </c>
    </row>
    <row r="205" spans="1:7" x14ac:dyDescent="0.25">
      <c r="A205" s="4"/>
      <c r="G205" s="3">
        <f t="shared" si="4"/>
        <v>0</v>
      </c>
    </row>
    <row r="206" spans="1:7" x14ac:dyDescent="0.25">
      <c r="A206" s="4"/>
      <c r="G206" s="3">
        <f t="shared" si="4"/>
        <v>0</v>
      </c>
    </row>
    <row r="207" spans="1:7" x14ac:dyDescent="0.25">
      <c r="A207" s="4"/>
      <c r="G207" s="3">
        <f t="shared" si="4"/>
        <v>0</v>
      </c>
    </row>
    <row r="208" spans="1:7" x14ac:dyDescent="0.25">
      <c r="A208" s="4"/>
      <c r="G208" s="3">
        <f t="shared" si="4"/>
        <v>0</v>
      </c>
    </row>
    <row r="209" spans="1:7" x14ac:dyDescent="0.25">
      <c r="A209" s="4"/>
      <c r="G209" s="3">
        <f t="shared" si="4"/>
        <v>0</v>
      </c>
    </row>
    <row r="210" spans="1:7" x14ac:dyDescent="0.25">
      <c r="A210" s="4"/>
      <c r="G210" s="3">
        <f t="shared" si="4"/>
        <v>0</v>
      </c>
    </row>
    <row r="211" spans="1:7" x14ac:dyDescent="0.25">
      <c r="A211" s="4"/>
      <c r="G211" s="3">
        <f t="shared" si="4"/>
        <v>0</v>
      </c>
    </row>
    <row r="212" spans="1:7" x14ac:dyDescent="0.25">
      <c r="A212" s="4"/>
      <c r="G212" s="3">
        <f t="shared" si="4"/>
        <v>0</v>
      </c>
    </row>
    <row r="213" spans="1:7" x14ac:dyDescent="0.25">
      <c r="A213" s="4"/>
      <c r="G213" s="3">
        <f t="shared" si="4"/>
        <v>0</v>
      </c>
    </row>
    <row r="214" spans="1:7" x14ac:dyDescent="0.25">
      <c r="A214" s="4"/>
      <c r="G214" s="3">
        <f t="shared" si="4"/>
        <v>0</v>
      </c>
    </row>
    <row r="215" spans="1:7" x14ac:dyDescent="0.25">
      <c r="A215" s="4"/>
      <c r="G215" s="3">
        <f t="shared" si="4"/>
        <v>0</v>
      </c>
    </row>
    <row r="216" spans="1:7" x14ac:dyDescent="0.25">
      <c r="A216" s="4"/>
      <c r="G216" s="3">
        <f t="shared" si="4"/>
        <v>0</v>
      </c>
    </row>
    <row r="217" spans="1:7" x14ac:dyDescent="0.25">
      <c r="A217" s="4"/>
      <c r="G217" s="3">
        <f t="shared" si="4"/>
        <v>0</v>
      </c>
    </row>
    <row r="218" spans="1:7" x14ac:dyDescent="0.25">
      <c r="A218" s="4"/>
      <c r="G218" s="3">
        <f t="shared" si="4"/>
        <v>0</v>
      </c>
    </row>
    <row r="219" spans="1:7" x14ac:dyDescent="0.25">
      <c r="A219" s="4"/>
      <c r="G219" s="3">
        <f t="shared" si="4"/>
        <v>0</v>
      </c>
    </row>
    <row r="220" spans="1:7" x14ac:dyDescent="0.25">
      <c r="A220" s="4"/>
      <c r="G220" s="3">
        <f t="shared" si="4"/>
        <v>0</v>
      </c>
    </row>
    <row r="221" spans="1:7" x14ac:dyDescent="0.25">
      <c r="A221" s="4"/>
      <c r="G221" s="3">
        <f t="shared" si="4"/>
        <v>0</v>
      </c>
    </row>
    <row r="222" spans="1:7" x14ac:dyDescent="0.25">
      <c r="A222" s="4"/>
      <c r="G222" s="3">
        <f t="shared" si="4"/>
        <v>0</v>
      </c>
    </row>
    <row r="223" spans="1:7" x14ac:dyDescent="0.25">
      <c r="A223" s="4"/>
      <c r="G223" s="3">
        <f t="shared" si="4"/>
        <v>0</v>
      </c>
    </row>
    <row r="224" spans="1:7" x14ac:dyDescent="0.25">
      <c r="A224" s="4"/>
      <c r="G224" s="3">
        <f t="shared" si="4"/>
        <v>0</v>
      </c>
    </row>
    <row r="225" spans="1:7" x14ac:dyDescent="0.25">
      <c r="A225" s="4"/>
      <c r="G225" s="3">
        <f t="shared" si="4"/>
        <v>0</v>
      </c>
    </row>
    <row r="226" spans="1:7" x14ac:dyDescent="0.25">
      <c r="A226" s="4"/>
      <c r="G226" s="3">
        <f t="shared" si="4"/>
        <v>0</v>
      </c>
    </row>
    <row r="227" spans="1:7" x14ac:dyDescent="0.25">
      <c r="A227" s="4"/>
      <c r="G227" s="3">
        <f t="shared" si="4"/>
        <v>0</v>
      </c>
    </row>
    <row r="228" spans="1:7" x14ac:dyDescent="0.25">
      <c r="A228" s="4"/>
      <c r="G228" s="3">
        <f t="shared" si="4"/>
        <v>0</v>
      </c>
    </row>
    <row r="229" spans="1:7" x14ac:dyDescent="0.25">
      <c r="A229" s="4"/>
      <c r="G229" s="3">
        <f t="shared" si="4"/>
        <v>0</v>
      </c>
    </row>
    <row r="230" spans="1:7" x14ac:dyDescent="0.25">
      <c r="A230" s="4"/>
      <c r="G230" s="3">
        <f t="shared" si="4"/>
        <v>0</v>
      </c>
    </row>
    <row r="231" spans="1:7" x14ac:dyDescent="0.25">
      <c r="A231" s="4"/>
      <c r="G231" s="3">
        <f t="shared" si="4"/>
        <v>0</v>
      </c>
    </row>
    <row r="232" spans="1:7" x14ac:dyDescent="0.25">
      <c r="A232" s="4"/>
      <c r="G232" s="3">
        <f t="shared" si="4"/>
        <v>0</v>
      </c>
    </row>
    <row r="233" spans="1:7" x14ac:dyDescent="0.25">
      <c r="A233" s="4"/>
      <c r="G233" s="3">
        <f t="shared" si="4"/>
        <v>0</v>
      </c>
    </row>
    <row r="234" spans="1:7" x14ac:dyDescent="0.25">
      <c r="A234" s="4"/>
      <c r="G234" s="3">
        <f t="shared" si="4"/>
        <v>0</v>
      </c>
    </row>
    <row r="235" spans="1:7" x14ac:dyDescent="0.25">
      <c r="A235" s="4"/>
      <c r="G235" s="3">
        <f t="shared" si="4"/>
        <v>0</v>
      </c>
    </row>
    <row r="236" spans="1:7" x14ac:dyDescent="0.25">
      <c r="A236" s="4"/>
      <c r="G236" s="3">
        <f t="shared" si="4"/>
        <v>0</v>
      </c>
    </row>
    <row r="237" spans="1:7" x14ac:dyDescent="0.25">
      <c r="A237" s="4"/>
      <c r="G237" s="3">
        <f t="shared" si="4"/>
        <v>0</v>
      </c>
    </row>
    <row r="238" spans="1:7" x14ac:dyDescent="0.25">
      <c r="A238" s="4"/>
      <c r="G238" s="3">
        <f t="shared" si="4"/>
        <v>0</v>
      </c>
    </row>
    <row r="239" spans="1:7" x14ac:dyDescent="0.25">
      <c r="A239" s="4"/>
      <c r="G239" s="3">
        <f t="shared" si="4"/>
        <v>0</v>
      </c>
    </row>
    <row r="240" spans="1:7" x14ac:dyDescent="0.25">
      <c r="A240" s="4"/>
      <c r="G240" s="3">
        <f t="shared" si="4"/>
        <v>0</v>
      </c>
    </row>
    <row r="241" spans="1:7" x14ac:dyDescent="0.25">
      <c r="A241" s="4"/>
      <c r="G241" s="3">
        <f t="shared" si="4"/>
        <v>0</v>
      </c>
    </row>
    <row r="242" spans="1:7" x14ac:dyDescent="0.25">
      <c r="A242" s="4"/>
      <c r="G242" s="3">
        <f t="shared" si="4"/>
        <v>0</v>
      </c>
    </row>
    <row r="243" spans="1:7" x14ac:dyDescent="0.25">
      <c r="A243" s="4"/>
      <c r="G243" s="3">
        <f t="shared" si="4"/>
        <v>0</v>
      </c>
    </row>
    <row r="244" spans="1:7" x14ac:dyDescent="0.25">
      <c r="A244" s="4"/>
      <c r="G244" s="3">
        <f t="shared" si="4"/>
        <v>0</v>
      </c>
    </row>
    <row r="245" spans="1:7" x14ac:dyDescent="0.25">
      <c r="A245" s="4"/>
      <c r="G245" s="3">
        <f t="shared" si="4"/>
        <v>0</v>
      </c>
    </row>
    <row r="246" spans="1:7" x14ac:dyDescent="0.25">
      <c r="A246" s="4"/>
      <c r="G246" s="3">
        <f t="shared" si="4"/>
        <v>0</v>
      </c>
    </row>
    <row r="247" spans="1:7" x14ac:dyDescent="0.25">
      <c r="A247" s="4"/>
      <c r="G247" s="3">
        <f t="shared" si="4"/>
        <v>0</v>
      </c>
    </row>
    <row r="248" spans="1:7" x14ac:dyDescent="0.25">
      <c r="A248" s="4"/>
      <c r="G248" s="3">
        <f t="shared" si="4"/>
        <v>0</v>
      </c>
    </row>
    <row r="249" spans="1:7" x14ac:dyDescent="0.25">
      <c r="A249" s="4"/>
      <c r="G249" s="3">
        <f t="shared" si="4"/>
        <v>0</v>
      </c>
    </row>
    <row r="250" spans="1:7" x14ac:dyDescent="0.25">
      <c r="A250" s="4"/>
      <c r="G250" s="3">
        <f t="shared" si="4"/>
        <v>0</v>
      </c>
    </row>
    <row r="251" spans="1:7" x14ac:dyDescent="0.25">
      <c r="A251" s="4"/>
      <c r="G251" s="3">
        <f t="shared" si="4"/>
        <v>0</v>
      </c>
    </row>
    <row r="252" spans="1:7" x14ac:dyDescent="0.25">
      <c r="A252" s="4"/>
      <c r="G252" s="3">
        <f t="shared" si="4"/>
        <v>0</v>
      </c>
    </row>
    <row r="253" spans="1:7" x14ac:dyDescent="0.25">
      <c r="A253" s="4"/>
      <c r="G253" s="3">
        <f t="shared" si="4"/>
        <v>0</v>
      </c>
    </row>
    <row r="254" spans="1:7" x14ac:dyDescent="0.25">
      <c r="A254" s="4"/>
      <c r="G254" s="3">
        <f t="shared" si="4"/>
        <v>0</v>
      </c>
    </row>
    <row r="255" spans="1:7" x14ac:dyDescent="0.25">
      <c r="A255" s="4"/>
      <c r="G255" s="3">
        <f t="shared" si="4"/>
        <v>0</v>
      </c>
    </row>
    <row r="256" spans="1:7" x14ac:dyDescent="0.25">
      <c r="A256" s="4"/>
      <c r="G256" s="3">
        <f t="shared" si="4"/>
        <v>0</v>
      </c>
    </row>
    <row r="257" spans="1:7" x14ac:dyDescent="0.25">
      <c r="A257" s="4"/>
      <c r="G257" s="3">
        <f t="shared" si="4"/>
        <v>0</v>
      </c>
    </row>
    <row r="258" spans="1:7" x14ac:dyDescent="0.25">
      <c r="A258" s="4"/>
      <c r="G258" s="3">
        <f t="shared" si="4"/>
        <v>0</v>
      </c>
    </row>
    <row r="259" spans="1:7" x14ac:dyDescent="0.25">
      <c r="A259" s="4"/>
      <c r="G259" s="3">
        <f t="shared" ref="G259:G322" si="5">D259+E259-F259</f>
        <v>0</v>
      </c>
    </row>
    <row r="260" spans="1:7" x14ac:dyDescent="0.25">
      <c r="A260" s="4"/>
      <c r="G260" s="3">
        <f t="shared" si="5"/>
        <v>0</v>
      </c>
    </row>
    <row r="261" spans="1:7" x14ac:dyDescent="0.25">
      <c r="A261" s="4"/>
      <c r="G261" s="3">
        <f t="shared" si="5"/>
        <v>0</v>
      </c>
    </row>
    <row r="262" spans="1:7" x14ac:dyDescent="0.25">
      <c r="A262" s="4"/>
      <c r="G262" s="3">
        <f t="shared" si="5"/>
        <v>0</v>
      </c>
    </row>
    <row r="263" spans="1:7" x14ac:dyDescent="0.25">
      <c r="A263" s="4"/>
      <c r="G263" s="3">
        <f t="shared" si="5"/>
        <v>0</v>
      </c>
    </row>
    <row r="264" spans="1:7" x14ac:dyDescent="0.25">
      <c r="A264" s="4"/>
      <c r="G264" s="3">
        <f t="shared" si="5"/>
        <v>0</v>
      </c>
    </row>
    <row r="265" spans="1:7" x14ac:dyDescent="0.25">
      <c r="A265" s="4"/>
      <c r="G265" s="3">
        <f t="shared" si="5"/>
        <v>0</v>
      </c>
    </row>
    <row r="266" spans="1:7" x14ac:dyDescent="0.25">
      <c r="A266" s="4"/>
      <c r="G266" s="3">
        <f t="shared" si="5"/>
        <v>0</v>
      </c>
    </row>
    <row r="267" spans="1:7" x14ac:dyDescent="0.25">
      <c r="A267" s="4"/>
      <c r="G267" s="3">
        <f t="shared" si="5"/>
        <v>0</v>
      </c>
    </row>
    <row r="268" spans="1:7" x14ac:dyDescent="0.25">
      <c r="A268" s="4"/>
      <c r="G268" s="3">
        <f t="shared" si="5"/>
        <v>0</v>
      </c>
    </row>
    <row r="269" spans="1:7" x14ac:dyDescent="0.25">
      <c r="A269" s="4"/>
      <c r="G269" s="3">
        <f t="shared" si="5"/>
        <v>0</v>
      </c>
    </row>
    <row r="270" spans="1:7" x14ac:dyDescent="0.25">
      <c r="A270" s="4"/>
      <c r="G270" s="3">
        <f t="shared" si="5"/>
        <v>0</v>
      </c>
    </row>
    <row r="271" spans="1:7" x14ac:dyDescent="0.25">
      <c r="A271" s="4"/>
      <c r="G271" s="3">
        <f t="shared" si="5"/>
        <v>0</v>
      </c>
    </row>
    <row r="272" spans="1:7" x14ac:dyDescent="0.25">
      <c r="A272" s="4"/>
      <c r="G272" s="3">
        <f t="shared" si="5"/>
        <v>0</v>
      </c>
    </row>
    <row r="273" spans="1:7" x14ac:dyDescent="0.25">
      <c r="A273" s="4"/>
      <c r="G273" s="3">
        <f t="shared" si="5"/>
        <v>0</v>
      </c>
    </row>
    <row r="274" spans="1:7" x14ac:dyDescent="0.25">
      <c r="A274" s="4"/>
      <c r="G274" s="3">
        <f t="shared" si="5"/>
        <v>0</v>
      </c>
    </row>
    <row r="275" spans="1:7" x14ac:dyDescent="0.25">
      <c r="A275" s="4"/>
      <c r="G275" s="3">
        <f t="shared" si="5"/>
        <v>0</v>
      </c>
    </row>
    <row r="276" spans="1:7" x14ac:dyDescent="0.25">
      <c r="A276" s="4"/>
      <c r="G276" s="3">
        <f t="shared" si="5"/>
        <v>0</v>
      </c>
    </row>
    <row r="277" spans="1:7" x14ac:dyDescent="0.25">
      <c r="A277" s="4"/>
      <c r="G277" s="3">
        <f t="shared" si="5"/>
        <v>0</v>
      </c>
    </row>
    <row r="278" spans="1:7" x14ac:dyDescent="0.25">
      <c r="A278" s="4"/>
      <c r="G278" s="3">
        <f t="shared" si="5"/>
        <v>0</v>
      </c>
    </row>
    <row r="279" spans="1:7" x14ac:dyDescent="0.25">
      <c r="A279" s="4"/>
      <c r="G279" s="3">
        <f t="shared" si="5"/>
        <v>0</v>
      </c>
    </row>
    <row r="280" spans="1:7" x14ac:dyDescent="0.25">
      <c r="A280" s="4"/>
      <c r="G280" s="3">
        <f t="shared" si="5"/>
        <v>0</v>
      </c>
    </row>
    <row r="281" spans="1:7" x14ac:dyDescent="0.25">
      <c r="A281" s="4"/>
      <c r="G281" s="3">
        <f t="shared" si="5"/>
        <v>0</v>
      </c>
    </row>
    <row r="282" spans="1:7" x14ac:dyDescent="0.25">
      <c r="A282" s="4"/>
      <c r="G282" s="3">
        <f t="shared" si="5"/>
        <v>0</v>
      </c>
    </row>
    <row r="283" spans="1:7" x14ac:dyDescent="0.25">
      <c r="A283" s="4"/>
      <c r="G283" s="3">
        <f t="shared" si="5"/>
        <v>0</v>
      </c>
    </row>
    <row r="284" spans="1:7" x14ac:dyDescent="0.25">
      <c r="A284" s="4"/>
      <c r="G284" s="3">
        <f t="shared" si="5"/>
        <v>0</v>
      </c>
    </row>
    <row r="285" spans="1:7" x14ac:dyDescent="0.25">
      <c r="A285" s="4"/>
      <c r="G285" s="3">
        <f t="shared" si="5"/>
        <v>0</v>
      </c>
    </row>
    <row r="286" spans="1:7" x14ac:dyDescent="0.25">
      <c r="A286" s="4"/>
      <c r="G286" s="3">
        <f t="shared" si="5"/>
        <v>0</v>
      </c>
    </row>
    <row r="287" spans="1:7" x14ac:dyDescent="0.25">
      <c r="A287" s="4"/>
      <c r="G287" s="3">
        <f t="shared" si="5"/>
        <v>0</v>
      </c>
    </row>
    <row r="288" spans="1:7" x14ac:dyDescent="0.25">
      <c r="A288" s="4"/>
      <c r="G288" s="3">
        <f t="shared" si="5"/>
        <v>0</v>
      </c>
    </row>
    <row r="289" spans="1:7" x14ac:dyDescent="0.25">
      <c r="A289" s="4"/>
      <c r="G289" s="3">
        <f t="shared" si="5"/>
        <v>0</v>
      </c>
    </row>
    <row r="290" spans="1:7" x14ac:dyDescent="0.25">
      <c r="A290" s="4"/>
      <c r="G290" s="3">
        <f t="shared" si="5"/>
        <v>0</v>
      </c>
    </row>
    <row r="291" spans="1:7" x14ac:dyDescent="0.25">
      <c r="A291" s="4"/>
      <c r="G291" s="3">
        <f t="shared" si="5"/>
        <v>0</v>
      </c>
    </row>
    <row r="292" spans="1:7" x14ac:dyDescent="0.25">
      <c r="A292" s="4"/>
      <c r="G292" s="3">
        <f t="shared" si="5"/>
        <v>0</v>
      </c>
    </row>
    <row r="293" spans="1:7" x14ac:dyDescent="0.25">
      <c r="A293" s="4"/>
      <c r="G293" s="3">
        <f t="shared" si="5"/>
        <v>0</v>
      </c>
    </row>
    <row r="294" spans="1:7" x14ac:dyDescent="0.25">
      <c r="A294" s="4"/>
      <c r="G294" s="3">
        <f t="shared" si="5"/>
        <v>0</v>
      </c>
    </row>
    <row r="295" spans="1:7" x14ac:dyDescent="0.25">
      <c r="A295" s="4"/>
      <c r="G295" s="3">
        <f t="shared" si="5"/>
        <v>0</v>
      </c>
    </row>
    <row r="296" spans="1:7" x14ac:dyDescent="0.25">
      <c r="A296" s="4"/>
      <c r="G296" s="3">
        <f t="shared" si="5"/>
        <v>0</v>
      </c>
    </row>
    <row r="297" spans="1:7" x14ac:dyDescent="0.25">
      <c r="A297" s="4"/>
      <c r="G297" s="3">
        <f t="shared" si="5"/>
        <v>0</v>
      </c>
    </row>
    <row r="298" spans="1:7" x14ac:dyDescent="0.25">
      <c r="A298" s="4"/>
      <c r="G298" s="3">
        <f t="shared" si="5"/>
        <v>0</v>
      </c>
    </row>
    <row r="299" spans="1:7" x14ac:dyDescent="0.25">
      <c r="A299" s="4"/>
      <c r="G299" s="3">
        <f t="shared" si="5"/>
        <v>0</v>
      </c>
    </row>
    <row r="300" spans="1:7" x14ac:dyDescent="0.25">
      <c r="A300" s="4"/>
      <c r="G300" s="3">
        <f t="shared" si="5"/>
        <v>0</v>
      </c>
    </row>
    <row r="301" spans="1:7" x14ac:dyDescent="0.25">
      <c r="A301" s="4"/>
      <c r="G301" s="3">
        <f t="shared" si="5"/>
        <v>0</v>
      </c>
    </row>
    <row r="302" spans="1:7" x14ac:dyDescent="0.25">
      <c r="A302" s="4"/>
      <c r="G302" s="3">
        <f t="shared" si="5"/>
        <v>0</v>
      </c>
    </row>
    <row r="303" spans="1:7" x14ac:dyDescent="0.25">
      <c r="A303" s="4"/>
      <c r="G303" s="3">
        <f t="shared" si="5"/>
        <v>0</v>
      </c>
    </row>
    <row r="304" spans="1:7" x14ac:dyDescent="0.25">
      <c r="A304" s="4"/>
      <c r="G304" s="3">
        <f t="shared" si="5"/>
        <v>0</v>
      </c>
    </row>
    <row r="305" spans="1:7" x14ac:dyDescent="0.25">
      <c r="A305" s="4"/>
      <c r="G305" s="3">
        <f t="shared" si="5"/>
        <v>0</v>
      </c>
    </row>
    <row r="306" spans="1:7" x14ac:dyDescent="0.25">
      <c r="A306" s="4"/>
      <c r="G306" s="3">
        <f t="shared" si="5"/>
        <v>0</v>
      </c>
    </row>
    <row r="307" spans="1:7" x14ac:dyDescent="0.25">
      <c r="A307" s="4"/>
      <c r="G307" s="3">
        <f t="shared" si="5"/>
        <v>0</v>
      </c>
    </row>
    <row r="308" spans="1:7" x14ac:dyDescent="0.25">
      <c r="A308" s="4"/>
      <c r="G308" s="3">
        <f t="shared" si="5"/>
        <v>0</v>
      </c>
    </row>
    <row r="309" spans="1:7" x14ac:dyDescent="0.25">
      <c r="A309" s="4"/>
      <c r="G309" s="3">
        <f t="shared" si="5"/>
        <v>0</v>
      </c>
    </row>
    <row r="310" spans="1:7" x14ac:dyDescent="0.25">
      <c r="A310" s="4"/>
      <c r="G310" s="3">
        <f t="shared" si="5"/>
        <v>0</v>
      </c>
    </row>
    <row r="311" spans="1:7" x14ac:dyDescent="0.25">
      <c r="A311" s="4"/>
      <c r="G311" s="3">
        <f t="shared" si="5"/>
        <v>0</v>
      </c>
    </row>
    <row r="312" spans="1:7" x14ac:dyDescent="0.25">
      <c r="A312" s="4"/>
      <c r="G312" s="3">
        <f t="shared" si="5"/>
        <v>0</v>
      </c>
    </row>
    <row r="313" spans="1:7" x14ac:dyDescent="0.25">
      <c r="A313" s="4"/>
      <c r="G313" s="3">
        <f t="shared" si="5"/>
        <v>0</v>
      </c>
    </row>
    <row r="314" spans="1:7" x14ac:dyDescent="0.25">
      <c r="A314" s="4"/>
      <c r="G314" s="3">
        <f t="shared" si="5"/>
        <v>0</v>
      </c>
    </row>
    <row r="315" spans="1:7" x14ac:dyDescent="0.25">
      <c r="A315" s="4"/>
      <c r="G315" s="3">
        <f t="shared" si="5"/>
        <v>0</v>
      </c>
    </row>
    <row r="316" spans="1:7" x14ac:dyDescent="0.25">
      <c r="A316" s="4"/>
      <c r="G316" s="3">
        <f t="shared" si="5"/>
        <v>0</v>
      </c>
    </row>
    <row r="317" spans="1:7" x14ac:dyDescent="0.25">
      <c r="A317" s="4"/>
      <c r="G317" s="3">
        <f t="shared" si="5"/>
        <v>0</v>
      </c>
    </row>
    <row r="318" spans="1:7" x14ac:dyDescent="0.25">
      <c r="A318" s="4"/>
      <c r="G318" s="3">
        <f t="shared" si="5"/>
        <v>0</v>
      </c>
    </row>
    <row r="319" spans="1:7" x14ac:dyDescent="0.25">
      <c r="A319" s="4"/>
      <c r="G319" s="3">
        <f t="shared" si="5"/>
        <v>0</v>
      </c>
    </row>
    <row r="320" spans="1:7" x14ac:dyDescent="0.25">
      <c r="A320" s="4"/>
      <c r="G320" s="3">
        <f t="shared" si="5"/>
        <v>0</v>
      </c>
    </row>
    <row r="321" spans="1:7" x14ac:dyDescent="0.25">
      <c r="A321" s="4"/>
      <c r="G321" s="3">
        <f t="shared" si="5"/>
        <v>0</v>
      </c>
    </row>
    <row r="322" spans="1:7" x14ac:dyDescent="0.25">
      <c r="A322" s="4"/>
      <c r="G322" s="3">
        <f t="shared" si="5"/>
        <v>0</v>
      </c>
    </row>
    <row r="323" spans="1:7" x14ac:dyDescent="0.25">
      <c r="A323" s="4"/>
      <c r="G323" s="3">
        <f t="shared" ref="G323:G386" si="6">D323+E323-F323</f>
        <v>0</v>
      </c>
    </row>
    <row r="324" spans="1:7" x14ac:dyDescent="0.25">
      <c r="A324" s="4"/>
      <c r="G324" s="3">
        <f t="shared" si="6"/>
        <v>0</v>
      </c>
    </row>
    <row r="325" spans="1:7" x14ac:dyDescent="0.25">
      <c r="A325" s="4"/>
      <c r="G325" s="3">
        <f t="shared" si="6"/>
        <v>0</v>
      </c>
    </row>
    <row r="326" spans="1:7" x14ac:dyDescent="0.25">
      <c r="A326" s="4"/>
      <c r="G326" s="3">
        <f t="shared" si="6"/>
        <v>0</v>
      </c>
    </row>
    <row r="327" spans="1:7" x14ac:dyDescent="0.25">
      <c r="A327" s="4"/>
      <c r="G327" s="3">
        <f t="shared" si="6"/>
        <v>0</v>
      </c>
    </row>
    <row r="328" spans="1:7" x14ac:dyDescent="0.25">
      <c r="A328" s="4"/>
      <c r="G328" s="3">
        <f t="shared" si="6"/>
        <v>0</v>
      </c>
    </row>
    <row r="329" spans="1:7" x14ac:dyDescent="0.25">
      <c r="A329" s="4"/>
      <c r="G329" s="3">
        <f t="shared" si="6"/>
        <v>0</v>
      </c>
    </row>
    <row r="330" spans="1:7" x14ac:dyDescent="0.25">
      <c r="A330" s="4"/>
      <c r="G330" s="3">
        <f t="shared" si="6"/>
        <v>0</v>
      </c>
    </row>
    <row r="331" spans="1:7" x14ac:dyDescent="0.25">
      <c r="A331" s="4"/>
      <c r="G331" s="3">
        <f t="shared" si="6"/>
        <v>0</v>
      </c>
    </row>
    <row r="332" spans="1:7" x14ac:dyDescent="0.25">
      <c r="A332" s="4"/>
      <c r="G332" s="3">
        <f t="shared" si="6"/>
        <v>0</v>
      </c>
    </row>
    <row r="333" spans="1:7" x14ac:dyDescent="0.25">
      <c r="A333" s="4"/>
      <c r="G333" s="3">
        <f t="shared" si="6"/>
        <v>0</v>
      </c>
    </row>
    <row r="334" spans="1:7" x14ac:dyDescent="0.25">
      <c r="A334" s="4"/>
      <c r="G334" s="3">
        <f t="shared" si="6"/>
        <v>0</v>
      </c>
    </row>
    <row r="335" spans="1:7" x14ac:dyDescent="0.25">
      <c r="A335" s="4"/>
      <c r="G335" s="3">
        <f t="shared" si="6"/>
        <v>0</v>
      </c>
    </row>
    <row r="336" spans="1:7" x14ac:dyDescent="0.25">
      <c r="A336" s="4"/>
      <c r="G336" s="3">
        <f t="shared" si="6"/>
        <v>0</v>
      </c>
    </row>
    <row r="337" spans="1:7" x14ac:dyDescent="0.25">
      <c r="A337" s="4"/>
      <c r="G337" s="3">
        <f t="shared" si="6"/>
        <v>0</v>
      </c>
    </row>
    <row r="338" spans="1:7" x14ac:dyDescent="0.25">
      <c r="A338" s="4"/>
      <c r="G338" s="3">
        <f t="shared" si="6"/>
        <v>0</v>
      </c>
    </row>
    <row r="339" spans="1:7" x14ac:dyDescent="0.25">
      <c r="A339" s="4"/>
      <c r="G339" s="3">
        <f t="shared" si="6"/>
        <v>0</v>
      </c>
    </row>
    <row r="340" spans="1:7" x14ac:dyDescent="0.25">
      <c r="A340" s="4"/>
      <c r="G340" s="3">
        <f t="shared" si="6"/>
        <v>0</v>
      </c>
    </row>
    <row r="341" spans="1:7" x14ac:dyDescent="0.25">
      <c r="A341" s="4"/>
      <c r="G341" s="3">
        <f t="shared" si="6"/>
        <v>0</v>
      </c>
    </row>
    <row r="342" spans="1:7" x14ac:dyDescent="0.25">
      <c r="A342" s="4"/>
      <c r="G342" s="3">
        <f t="shared" si="6"/>
        <v>0</v>
      </c>
    </row>
    <row r="343" spans="1:7" x14ac:dyDescent="0.25">
      <c r="A343" s="4"/>
      <c r="G343" s="3">
        <f t="shared" si="6"/>
        <v>0</v>
      </c>
    </row>
    <row r="344" spans="1:7" x14ac:dyDescent="0.25">
      <c r="A344" s="4"/>
      <c r="G344" s="3">
        <f t="shared" si="6"/>
        <v>0</v>
      </c>
    </row>
    <row r="345" spans="1:7" x14ac:dyDescent="0.25">
      <c r="A345" s="4"/>
      <c r="G345" s="3">
        <f t="shared" si="6"/>
        <v>0</v>
      </c>
    </row>
    <row r="346" spans="1:7" x14ac:dyDescent="0.25">
      <c r="A346" s="4"/>
      <c r="G346" s="3">
        <f t="shared" si="6"/>
        <v>0</v>
      </c>
    </row>
    <row r="347" spans="1:7" x14ac:dyDescent="0.25">
      <c r="A347" s="4"/>
      <c r="G347" s="3">
        <f t="shared" si="6"/>
        <v>0</v>
      </c>
    </row>
    <row r="348" spans="1:7" x14ac:dyDescent="0.25">
      <c r="A348" s="4"/>
      <c r="G348" s="3">
        <f t="shared" si="6"/>
        <v>0</v>
      </c>
    </row>
    <row r="349" spans="1:7" x14ac:dyDescent="0.25">
      <c r="A349" s="4"/>
      <c r="G349" s="3">
        <f t="shared" si="6"/>
        <v>0</v>
      </c>
    </row>
    <row r="350" spans="1:7" x14ac:dyDescent="0.25">
      <c r="A350" s="4"/>
      <c r="G350" s="3">
        <f t="shared" si="6"/>
        <v>0</v>
      </c>
    </row>
    <row r="351" spans="1:7" x14ac:dyDescent="0.25">
      <c r="A351" s="4"/>
      <c r="G351" s="3">
        <f t="shared" si="6"/>
        <v>0</v>
      </c>
    </row>
    <row r="352" spans="1:7" x14ac:dyDescent="0.25">
      <c r="A352" s="4"/>
      <c r="G352" s="3">
        <f t="shared" si="6"/>
        <v>0</v>
      </c>
    </row>
    <row r="353" spans="1:7" x14ac:dyDescent="0.25">
      <c r="A353" s="4"/>
      <c r="G353" s="3">
        <f t="shared" si="6"/>
        <v>0</v>
      </c>
    </row>
    <row r="354" spans="1:7" x14ac:dyDescent="0.25">
      <c r="A354" s="4"/>
      <c r="G354" s="3">
        <f t="shared" si="6"/>
        <v>0</v>
      </c>
    </row>
    <row r="355" spans="1:7" x14ac:dyDescent="0.25">
      <c r="A355" s="4"/>
      <c r="G355" s="3">
        <f t="shared" si="6"/>
        <v>0</v>
      </c>
    </row>
    <row r="356" spans="1:7" x14ac:dyDescent="0.25">
      <c r="A356" s="4"/>
      <c r="G356" s="3">
        <f t="shared" si="6"/>
        <v>0</v>
      </c>
    </row>
    <row r="357" spans="1:7" x14ac:dyDescent="0.25">
      <c r="A357" s="4"/>
      <c r="G357" s="3">
        <f t="shared" si="6"/>
        <v>0</v>
      </c>
    </row>
    <row r="358" spans="1:7" x14ac:dyDescent="0.25">
      <c r="A358" s="4"/>
      <c r="G358" s="3">
        <f t="shared" si="6"/>
        <v>0</v>
      </c>
    </row>
    <row r="359" spans="1:7" x14ac:dyDescent="0.25">
      <c r="A359" s="4"/>
      <c r="G359" s="3">
        <f t="shared" si="6"/>
        <v>0</v>
      </c>
    </row>
    <row r="360" spans="1:7" x14ac:dyDescent="0.25">
      <c r="A360" s="4"/>
      <c r="G360" s="3">
        <f t="shared" si="6"/>
        <v>0</v>
      </c>
    </row>
    <row r="361" spans="1:7" x14ac:dyDescent="0.25">
      <c r="A361" s="4"/>
      <c r="G361" s="3">
        <f t="shared" si="6"/>
        <v>0</v>
      </c>
    </row>
    <row r="362" spans="1:7" x14ac:dyDescent="0.25">
      <c r="A362" s="4"/>
      <c r="G362" s="3">
        <f t="shared" si="6"/>
        <v>0</v>
      </c>
    </row>
    <row r="363" spans="1:7" x14ac:dyDescent="0.25">
      <c r="A363" s="4"/>
      <c r="G363" s="3">
        <f t="shared" si="6"/>
        <v>0</v>
      </c>
    </row>
    <row r="364" spans="1:7" x14ac:dyDescent="0.25">
      <c r="A364" s="4"/>
      <c r="G364" s="3">
        <f t="shared" si="6"/>
        <v>0</v>
      </c>
    </row>
    <row r="365" spans="1:7" x14ac:dyDescent="0.25">
      <c r="A365" s="4"/>
      <c r="G365" s="3">
        <f t="shared" si="6"/>
        <v>0</v>
      </c>
    </row>
    <row r="366" spans="1:7" x14ac:dyDescent="0.25">
      <c r="A366" s="4"/>
      <c r="G366" s="3">
        <f t="shared" si="6"/>
        <v>0</v>
      </c>
    </row>
    <row r="367" spans="1:7" x14ac:dyDescent="0.25">
      <c r="A367" s="4"/>
      <c r="G367" s="3">
        <f t="shared" si="6"/>
        <v>0</v>
      </c>
    </row>
    <row r="368" spans="1:7" x14ac:dyDescent="0.25">
      <c r="A368" s="4"/>
      <c r="G368" s="3">
        <f t="shared" si="6"/>
        <v>0</v>
      </c>
    </row>
    <row r="369" spans="1:7" x14ac:dyDescent="0.25">
      <c r="A369" s="4"/>
      <c r="G369" s="3">
        <f t="shared" si="6"/>
        <v>0</v>
      </c>
    </row>
    <row r="370" spans="1:7" x14ac:dyDescent="0.25">
      <c r="A370" s="4"/>
      <c r="G370" s="3">
        <f t="shared" si="6"/>
        <v>0</v>
      </c>
    </row>
    <row r="371" spans="1:7" x14ac:dyDescent="0.25">
      <c r="A371" s="4"/>
      <c r="G371" s="3">
        <f t="shared" si="6"/>
        <v>0</v>
      </c>
    </row>
    <row r="372" spans="1:7" x14ac:dyDescent="0.25">
      <c r="A372" s="4"/>
      <c r="G372" s="3">
        <f t="shared" si="6"/>
        <v>0</v>
      </c>
    </row>
    <row r="373" spans="1:7" x14ac:dyDescent="0.25">
      <c r="A373" s="4"/>
      <c r="G373" s="3">
        <f t="shared" si="6"/>
        <v>0</v>
      </c>
    </row>
    <row r="374" spans="1:7" x14ac:dyDescent="0.25">
      <c r="A374" s="4"/>
      <c r="G374" s="3">
        <f t="shared" si="6"/>
        <v>0</v>
      </c>
    </row>
    <row r="375" spans="1:7" x14ac:dyDescent="0.25">
      <c r="A375" s="4"/>
      <c r="G375" s="3">
        <f t="shared" si="6"/>
        <v>0</v>
      </c>
    </row>
    <row r="376" spans="1:7" x14ac:dyDescent="0.25">
      <c r="A376" s="4"/>
      <c r="G376" s="3">
        <f t="shared" si="6"/>
        <v>0</v>
      </c>
    </row>
    <row r="377" spans="1:7" x14ac:dyDescent="0.25">
      <c r="A377" s="4"/>
      <c r="G377" s="3">
        <f t="shared" si="6"/>
        <v>0</v>
      </c>
    </row>
    <row r="378" spans="1:7" x14ac:dyDescent="0.25">
      <c r="A378" s="4"/>
      <c r="G378" s="3">
        <f t="shared" si="6"/>
        <v>0</v>
      </c>
    </row>
    <row r="379" spans="1:7" x14ac:dyDescent="0.25">
      <c r="A379" s="4"/>
      <c r="G379" s="3">
        <f t="shared" si="6"/>
        <v>0</v>
      </c>
    </row>
    <row r="380" spans="1:7" x14ac:dyDescent="0.25">
      <c r="A380" s="4"/>
      <c r="G380" s="3">
        <f t="shared" si="6"/>
        <v>0</v>
      </c>
    </row>
    <row r="381" spans="1:7" x14ac:dyDescent="0.25">
      <c r="A381" s="4"/>
      <c r="G381" s="3">
        <f t="shared" si="6"/>
        <v>0</v>
      </c>
    </row>
    <row r="382" spans="1:7" x14ac:dyDescent="0.25">
      <c r="A382" s="4"/>
      <c r="G382" s="3">
        <f t="shared" si="6"/>
        <v>0</v>
      </c>
    </row>
    <row r="383" spans="1:7" x14ac:dyDescent="0.25">
      <c r="A383" s="4"/>
      <c r="G383" s="3">
        <f t="shared" si="6"/>
        <v>0</v>
      </c>
    </row>
    <row r="384" spans="1:7" x14ac:dyDescent="0.25">
      <c r="A384" s="4"/>
      <c r="G384" s="3">
        <f t="shared" si="6"/>
        <v>0</v>
      </c>
    </row>
    <row r="385" spans="1:7" x14ac:dyDescent="0.25">
      <c r="A385" s="4"/>
      <c r="G385" s="3">
        <f t="shared" si="6"/>
        <v>0</v>
      </c>
    </row>
    <row r="386" spans="1:7" x14ac:dyDescent="0.25">
      <c r="A386" s="4"/>
      <c r="G386" s="3">
        <f t="shared" si="6"/>
        <v>0</v>
      </c>
    </row>
    <row r="387" spans="1:7" x14ac:dyDescent="0.25">
      <c r="A387" s="4"/>
      <c r="G387" s="3">
        <f t="shared" ref="G387:G450" si="7">D387+E387-F387</f>
        <v>0</v>
      </c>
    </row>
    <row r="388" spans="1:7" x14ac:dyDescent="0.25">
      <c r="A388" s="4"/>
      <c r="G388" s="3">
        <f t="shared" si="7"/>
        <v>0</v>
      </c>
    </row>
    <row r="389" spans="1:7" x14ac:dyDescent="0.25">
      <c r="A389" s="4"/>
      <c r="G389" s="3">
        <f t="shared" si="7"/>
        <v>0</v>
      </c>
    </row>
    <row r="390" spans="1:7" x14ac:dyDescent="0.25">
      <c r="A390" s="4"/>
      <c r="G390" s="3">
        <f t="shared" si="7"/>
        <v>0</v>
      </c>
    </row>
    <row r="391" spans="1:7" x14ac:dyDescent="0.25">
      <c r="A391" s="4"/>
      <c r="G391" s="3">
        <f t="shared" si="7"/>
        <v>0</v>
      </c>
    </row>
    <row r="392" spans="1:7" x14ac:dyDescent="0.25">
      <c r="A392" s="4"/>
      <c r="G392" s="3">
        <f t="shared" si="7"/>
        <v>0</v>
      </c>
    </row>
    <row r="393" spans="1:7" x14ac:dyDescent="0.25">
      <c r="A393" s="4"/>
      <c r="G393" s="3">
        <f t="shared" si="7"/>
        <v>0</v>
      </c>
    </row>
    <row r="394" spans="1:7" x14ac:dyDescent="0.25">
      <c r="A394" s="4"/>
      <c r="G394" s="3">
        <f t="shared" si="7"/>
        <v>0</v>
      </c>
    </row>
    <row r="395" spans="1:7" x14ac:dyDescent="0.25">
      <c r="A395" s="4"/>
      <c r="G395" s="3">
        <f t="shared" si="7"/>
        <v>0</v>
      </c>
    </row>
    <row r="396" spans="1:7" x14ac:dyDescent="0.25">
      <c r="A396" s="4"/>
      <c r="G396" s="3">
        <f t="shared" si="7"/>
        <v>0</v>
      </c>
    </row>
    <row r="397" spans="1:7" x14ac:dyDescent="0.25">
      <c r="A397" s="4"/>
      <c r="G397" s="3">
        <f t="shared" si="7"/>
        <v>0</v>
      </c>
    </row>
    <row r="398" spans="1:7" x14ac:dyDescent="0.25">
      <c r="A398" s="4"/>
      <c r="G398" s="3">
        <f t="shared" si="7"/>
        <v>0</v>
      </c>
    </row>
    <row r="399" spans="1:7" x14ac:dyDescent="0.25">
      <c r="A399" s="4"/>
      <c r="G399" s="3">
        <f t="shared" si="7"/>
        <v>0</v>
      </c>
    </row>
    <row r="400" spans="1:7" x14ac:dyDescent="0.25">
      <c r="A400" s="4"/>
      <c r="G400" s="3">
        <f t="shared" si="7"/>
        <v>0</v>
      </c>
    </row>
    <row r="401" spans="1:7" x14ac:dyDescent="0.25">
      <c r="A401" s="4"/>
      <c r="G401" s="3">
        <f t="shared" si="7"/>
        <v>0</v>
      </c>
    </row>
    <row r="402" spans="1:7" x14ac:dyDescent="0.25">
      <c r="A402" s="4"/>
      <c r="G402" s="3">
        <f t="shared" si="7"/>
        <v>0</v>
      </c>
    </row>
    <row r="403" spans="1:7" x14ac:dyDescent="0.25">
      <c r="A403" s="4"/>
      <c r="G403" s="3">
        <f t="shared" si="7"/>
        <v>0</v>
      </c>
    </row>
    <row r="404" spans="1:7" x14ac:dyDescent="0.25">
      <c r="A404" s="4"/>
      <c r="G404" s="3">
        <f t="shared" si="7"/>
        <v>0</v>
      </c>
    </row>
    <row r="405" spans="1:7" x14ac:dyDescent="0.25">
      <c r="A405" s="4"/>
      <c r="G405" s="3">
        <f t="shared" si="7"/>
        <v>0</v>
      </c>
    </row>
    <row r="406" spans="1:7" x14ac:dyDescent="0.25">
      <c r="A406" s="4"/>
      <c r="G406" s="3">
        <f t="shared" si="7"/>
        <v>0</v>
      </c>
    </row>
    <row r="407" spans="1:7" x14ac:dyDescent="0.25">
      <c r="A407" s="4"/>
      <c r="G407" s="3">
        <f t="shared" si="7"/>
        <v>0</v>
      </c>
    </row>
    <row r="408" spans="1:7" x14ac:dyDescent="0.25">
      <c r="A408" s="4"/>
      <c r="G408" s="3">
        <f t="shared" si="7"/>
        <v>0</v>
      </c>
    </row>
    <row r="409" spans="1:7" x14ac:dyDescent="0.25">
      <c r="A409" s="4"/>
      <c r="G409" s="3">
        <f t="shared" si="7"/>
        <v>0</v>
      </c>
    </row>
    <row r="410" spans="1:7" x14ac:dyDescent="0.25">
      <c r="A410" s="4"/>
      <c r="G410" s="3">
        <f t="shared" si="7"/>
        <v>0</v>
      </c>
    </row>
    <row r="411" spans="1:7" x14ac:dyDescent="0.25">
      <c r="A411" s="4"/>
      <c r="G411" s="3">
        <f t="shared" si="7"/>
        <v>0</v>
      </c>
    </row>
    <row r="412" spans="1:7" x14ac:dyDescent="0.25">
      <c r="A412" s="4"/>
      <c r="G412" s="3">
        <f t="shared" si="7"/>
        <v>0</v>
      </c>
    </row>
    <row r="413" spans="1:7" x14ac:dyDescent="0.25">
      <c r="A413" s="4"/>
      <c r="G413" s="3">
        <f t="shared" si="7"/>
        <v>0</v>
      </c>
    </row>
    <row r="414" spans="1:7" x14ac:dyDescent="0.25">
      <c r="A414" s="4"/>
      <c r="G414" s="3">
        <f t="shared" si="7"/>
        <v>0</v>
      </c>
    </row>
    <row r="415" spans="1:7" x14ac:dyDescent="0.25">
      <c r="A415" s="4"/>
      <c r="G415" s="3">
        <f t="shared" si="7"/>
        <v>0</v>
      </c>
    </row>
    <row r="416" spans="1:7" x14ac:dyDescent="0.25">
      <c r="A416" s="4"/>
      <c r="G416" s="3">
        <f t="shared" si="7"/>
        <v>0</v>
      </c>
    </row>
    <row r="417" spans="1:7" x14ac:dyDescent="0.25">
      <c r="A417" s="4"/>
      <c r="G417" s="3">
        <f t="shared" si="7"/>
        <v>0</v>
      </c>
    </row>
    <row r="418" spans="1:7" x14ac:dyDescent="0.25">
      <c r="A418" s="4"/>
      <c r="G418" s="3">
        <f t="shared" si="7"/>
        <v>0</v>
      </c>
    </row>
    <row r="419" spans="1:7" x14ac:dyDescent="0.25">
      <c r="A419" s="4"/>
      <c r="G419" s="3">
        <f t="shared" si="7"/>
        <v>0</v>
      </c>
    </row>
    <row r="420" spans="1:7" x14ac:dyDescent="0.25">
      <c r="A420" s="4"/>
      <c r="G420" s="3">
        <f t="shared" si="7"/>
        <v>0</v>
      </c>
    </row>
    <row r="421" spans="1:7" x14ac:dyDescent="0.25">
      <c r="A421" s="4"/>
      <c r="G421" s="3">
        <f t="shared" si="7"/>
        <v>0</v>
      </c>
    </row>
    <row r="422" spans="1:7" x14ac:dyDescent="0.25">
      <c r="A422" s="4"/>
      <c r="G422" s="3">
        <f t="shared" si="7"/>
        <v>0</v>
      </c>
    </row>
    <row r="423" spans="1:7" x14ac:dyDescent="0.25">
      <c r="A423" s="4"/>
      <c r="G423" s="3">
        <f t="shared" si="7"/>
        <v>0</v>
      </c>
    </row>
    <row r="424" spans="1:7" x14ac:dyDescent="0.25">
      <c r="A424" s="4"/>
      <c r="G424" s="3">
        <f t="shared" si="7"/>
        <v>0</v>
      </c>
    </row>
    <row r="425" spans="1:7" x14ac:dyDescent="0.25">
      <c r="A425" s="4"/>
      <c r="G425" s="3">
        <f t="shared" si="7"/>
        <v>0</v>
      </c>
    </row>
    <row r="426" spans="1:7" x14ac:dyDescent="0.25">
      <c r="A426" s="4"/>
      <c r="G426" s="3">
        <f t="shared" si="7"/>
        <v>0</v>
      </c>
    </row>
    <row r="427" spans="1:7" x14ac:dyDescent="0.25">
      <c r="A427" s="4"/>
      <c r="G427" s="3">
        <f t="shared" si="7"/>
        <v>0</v>
      </c>
    </row>
    <row r="428" spans="1:7" x14ac:dyDescent="0.25">
      <c r="A428" s="4"/>
      <c r="G428" s="3">
        <f t="shared" si="7"/>
        <v>0</v>
      </c>
    </row>
    <row r="429" spans="1:7" x14ac:dyDescent="0.25">
      <c r="A429" s="4"/>
      <c r="G429" s="3">
        <f t="shared" si="7"/>
        <v>0</v>
      </c>
    </row>
    <row r="430" spans="1:7" x14ac:dyDescent="0.25">
      <c r="A430" s="4"/>
      <c r="G430" s="3">
        <f t="shared" si="7"/>
        <v>0</v>
      </c>
    </row>
    <row r="431" spans="1:7" x14ac:dyDescent="0.25">
      <c r="A431" s="4"/>
      <c r="G431" s="3">
        <f t="shared" si="7"/>
        <v>0</v>
      </c>
    </row>
    <row r="432" spans="1:7" x14ac:dyDescent="0.25">
      <c r="A432" s="4"/>
      <c r="G432" s="3">
        <f t="shared" si="7"/>
        <v>0</v>
      </c>
    </row>
    <row r="433" spans="1:7" x14ac:dyDescent="0.25">
      <c r="A433" s="4"/>
      <c r="G433" s="3">
        <f t="shared" si="7"/>
        <v>0</v>
      </c>
    </row>
    <row r="434" spans="1:7" x14ac:dyDescent="0.25">
      <c r="A434" s="4"/>
      <c r="G434" s="3">
        <f t="shared" si="7"/>
        <v>0</v>
      </c>
    </row>
    <row r="435" spans="1:7" x14ac:dyDescent="0.25">
      <c r="A435" s="4"/>
      <c r="G435" s="3">
        <f t="shared" si="7"/>
        <v>0</v>
      </c>
    </row>
    <row r="436" spans="1:7" x14ac:dyDescent="0.25">
      <c r="A436" s="4"/>
      <c r="G436" s="3">
        <f t="shared" si="7"/>
        <v>0</v>
      </c>
    </row>
    <row r="437" spans="1:7" x14ac:dyDescent="0.25">
      <c r="A437" s="4"/>
      <c r="G437" s="3">
        <f t="shared" si="7"/>
        <v>0</v>
      </c>
    </row>
    <row r="438" spans="1:7" x14ac:dyDescent="0.25">
      <c r="A438" s="4"/>
      <c r="G438" s="3">
        <f t="shared" si="7"/>
        <v>0</v>
      </c>
    </row>
    <row r="439" spans="1:7" x14ac:dyDescent="0.25">
      <c r="A439" s="4"/>
      <c r="G439" s="3">
        <f t="shared" si="7"/>
        <v>0</v>
      </c>
    </row>
    <row r="440" spans="1:7" x14ac:dyDescent="0.25">
      <c r="A440" s="4"/>
      <c r="G440" s="3">
        <f t="shared" si="7"/>
        <v>0</v>
      </c>
    </row>
    <row r="441" spans="1:7" x14ac:dyDescent="0.25">
      <c r="A441" s="4"/>
      <c r="G441" s="3">
        <f t="shared" si="7"/>
        <v>0</v>
      </c>
    </row>
    <row r="442" spans="1:7" x14ac:dyDescent="0.25">
      <c r="A442" s="4"/>
      <c r="G442" s="3">
        <f t="shared" si="7"/>
        <v>0</v>
      </c>
    </row>
    <row r="443" spans="1:7" x14ac:dyDescent="0.25">
      <c r="A443" s="4"/>
      <c r="G443" s="3">
        <f t="shared" si="7"/>
        <v>0</v>
      </c>
    </row>
    <row r="444" spans="1:7" x14ac:dyDescent="0.25">
      <c r="A444" s="4"/>
      <c r="G444" s="3">
        <f t="shared" si="7"/>
        <v>0</v>
      </c>
    </row>
    <row r="445" spans="1:7" x14ac:dyDescent="0.25">
      <c r="A445" s="4"/>
      <c r="G445" s="3">
        <f t="shared" si="7"/>
        <v>0</v>
      </c>
    </row>
    <row r="446" spans="1:7" x14ac:dyDescent="0.25">
      <c r="A446" s="4"/>
      <c r="G446" s="3">
        <f t="shared" si="7"/>
        <v>0</v>
      </c>
    </row>
    <row r="447" spans="1:7" x14ac:dyDescent="0.25">
      <c r="A447" s="4"/>
      <c r="G447" s="3">
        <f t="shared" si="7"/>
        <v>0</v>
      </c>
    </row>
    <row r="448" spans="1:7" x14ac:dyDescent="0.25">
      <c r="A448" s="4"/>
      <c r="G448" s="3">
        <f t="shared" si="7"/>
        <v>0</v>
      </c>
    </row>
    <row r="449" spans="1:7" x14ac:dyDescent="0.25">
      <c r="A449" s="4"/>
      <c r="G449" s="3">
        <f t="shared" si="7"/>
        <v>0</v>
      </c>
    </row>
    <row r="450" spans="1:7" x14ac:dyDescent="0.25">
      <c r="A450" s="4"/>
      <c r="G450" s="3">
        <f t="shared" si="7"/>
        <v>0</v>
      </c>
    </row>
    <row r="451" spans="1:7" x14ac:dyDescent="0.25">
      <c r="A451" s="4"/>
      <c r="G451" s="3">
        <f t="shared" ref="G451:G514" si="8">D451+E451-F451</f>
        <v>0</v>
      </c>
    </row>
    <row r="452" spans="1:7" x14ac:dyDescent="0.25">
      <c r="A452" s="4"/>
      <c r="G452" s="3">
        <f t="shared" si="8"/>
        <v>0</v>
      </c>
    </row>
    <row r="453" spans="1:7" x14ac:dyDescent="0.25">
      <c r="A453" s="4"/>
      <c r="G453" s="3">
        <f t="shared" si="8"/>
        <v>0</v>
      </c>
    </row>
    <row r="454" spans="1:7" x14ac:dyDescent="0.25">
      <c r="A454" s="4"/>
      <c r="G454" s="3">
        <f t="shared" si="8"/>
        <v>0</v>
      </c>
    </row>
    <row r="455" spans="1:7" x14ac:dyDescent="0.25">
      <c r="A455" s="4"/>
      <c r="G455" s="3">
        <f t="shared" si="8"/>
        <v>0</v>
      </c>
    </row>
    <row r="456" spans="1:7" x14ac:dyDescent="0.25">
      <c r="A456" s="4"/>
      <c r="G456" s="3">
        <f t="shared" si="8"/>
        <v>0</v>
      </c>
    </row>
    <row r="457" spans="1:7" x14ac:dyDescent="0.25">
      <c r="A457" s="4"/>
      <c r="G457" s="3">
        <f t="shared" si="8"/>
        <v>0</v>
      </c>
    </row>
    <row r="458" spans="1:7" x14ac:dyDescent="0.25">
      <c r="A458" s="4"/>
      <c r="G458" s="3">
        <f t="shared" si="8"/>
        <v>0</v>
      </c>
    </row>
    <row r="459" spans="1:7" x14ac:dyDescent="0.25">
      <c r="A459" s="4"/>
      <c r="G459" s="3">
        <f t="shared" si="8"/>
        <v>0</v>
      </c>
    </row>
    <row r="460" spans="1:7" x14ac:dyDescent="0.25">
      <c r="A460" s="4"/>
      <c r="G460" s="3">
        <f t="shared" si="8"/>
        <v>0</v>
      </c>
    </row>
    <row r="461" spans="1:7" x14ac:dyDescent="0.25">
      <c r="A461" s="4"/>
      <c r="G461" s="3">
        <f t="shared" si="8"/>
        <v>0</v>
      </c>
    </row>
    <row r="462" spans="1:7" x14ac:dyDescent="0.25">
      <c r="A462" s="4"/>
      <c r="G462" s="3">
        <f t="shared" si="8"/>
        <v>0</v>
      </c>
    </row>
    <row r="463" spans="1:7" x14ac:dyDescent="0.25">
      <c r="A463" s="4"/>
      <c r="G463" s="3">
        <f t="shared" si="8"/>
        <v>0</v>
      </c>
    </row>
    <row r="464" spans="1:7" x14ac:dyDescent="0.25">
      <c r="A464" s="4"/>
      <c r="G464" s="3">
        <f t="shared" si="8"/>
        <v>0</v>
      </c>
    </row>
    <row r="465" spans="1:7" x14ac:dyDescent="0.25">
      <c r="A465" s="4"/>
      <c r="G465" s="3">
        <f t="shared" si="8"/>
        <v>0</v>
      </c>
    </row>
    <row r="466" spans="1:7" x14ac:dyDescent="0.25">
      <c r="A466" s="4"/>
      <c r="G466" s="3">
        <f t="shared" si="8"/>
        <v>0</v>
      </c>
    </row>
    <row r="467" spans="1:7" x14ac:dyDescent="0.25">
      <c r="A467" s="4"/>
      <c r="G467" s="3">
        <f t="shared" si="8"/>
        <v>0</v>
      </c>
    </row>
    <row r="468" spans="1:7" x14ac:dyDescent="0.25">
      <c r="A468" s="4"/>
      <c r="G468" s="3">
        <f t="shared" si="8"/>
        <v>0</v>
      </c>
    </row>
    <row r="469" spans="1:7" x14ac:dyDescent="0.25">
      <c r="A469" s="4"/>
      <c r="G469" s="3">
        <f t="shared" si="8"/>
        <v>0</v>
      </c>
    </row>
    <row r="470" spans="1:7" x14ac:dyDescent="0.25">
      <c r="A470" s="4"/>
      <c r="G470" s="3">
        <f t="shared" si="8"/>
        <v>0</v>
      </c>
    </row>
    <row r="471" spans="1:7" x14ac:dyDescent="0.25">
      <c r="A471" s="4"/>
      <c r="G471" s="3">
        <f t="shared" si="8"/>
        <v>0</v>
      </c>
    </row>
    <row r="472" spans="1:7" x14ac:dyDescent="0.25">
      <c r="A472" s="4"/>
      <c r="G472" s="3">
        <f t="shared" si="8"/>
        <v>0</v>
      </c>
    </row>
    <row r="473" spans="1:7" x14ac:dyDescent="0.25">
      <c r="A473" s="4"/>
      <c r="G473" s="3">
        <f t="shared" si="8"/>
        <v>0</v>
      </c>
    </row>
    <row r="474" spans="1:7" x14ac:dyDescent="0.25">
      <c r="A474" s="4"/>
      <c r="G474" s="3">
        <f t="shared" si="8"/>
        <v>0</v>
      </c>
    </row>
    <row r="475" spans="1:7" x14ac:dyDescent="0.25">
      <c r="A475" s="4"/>
      <c r="G475" s="3">
        <f t="shared" si="8"/>
        <v>0</v>
      </c>
    </row>
    <row r="476" spans="1:7" x14ac:dyDescent="0.25">
      <c r="A476" s="4"/>
      <c r="G476" s="3">
        <f t="shared" si="8"/>
        <v>0</v>
      </c>
    </row>
    <row r="477" spans="1:7" x14ac:dyDescent="0.25">
      <c r="A477" s="4"/>
      <c r="G477" s="3">
        <f t="shared" si="8"/>
        <v>0</v>
      </c>
    </row>
    <row r="478" spans="1:7" x14ac:dyDescent="0.25">
      <c r="A478" s="4"/>
      <c r="G478" s="3">
        <f t="shared" si="8"/>
        <v>0</v>
      </c>
    </row>
    <row r="479" spans="1:7" x14ac:dyDescent="0.25">
      <c r="A479" s="4"/>
      <c r="G479" s="3">
        <f t="shared" si="8"/>
        <v>0</v>
      </c>
    </row>
    <row r="480" spans="1:7" x14ac:dyDescent="0.25">
      <c r="A480" s="4"/>
      <c r="G480" s="3">
        <f t="shared" si="8"/>
        <v>0</v>
      </c>
    </row>
    <row r="481" spans="1:7" x14ac:dyDescent="0.25">
      <c r="A481" s="4"/>
      <c r="G481" s="3">
        <f t="shared" si="8"/>
        <v>0</v>
      </c>
    </row>
    <row r="482" spans="1:7" x14ac:dyDescent="0.25">
      <c r="A482" s="4"/>
      <c r="G482" s="3">
        <f t="shared" si="8"/>
        <v>0</v>
      </c>
    </row>
    <row r="483" spans="1:7" x14ac:dyDescent="0.25">
      <c r="A483" s="4"/>
      <c r="G483" s="3">
        <f t="shared" si="8"/>
        <v>0</v>
      </c>
    </row>
    <row r="484" spans="1:7" x14ac:dyDescent="0.25">
      <c r="A484" s="4"/>
      <c r="G484" s="3">
        <f t="shared" si="8"/>
        <v>0</v>
      </c>
    </row>
    <row r="485" spans="1:7" x14ac:dyDescent="0.25">
      <c r="A485" s="4"/>
      <c r="G485" s="3">
        <f t="shared" si="8"/>
        <v>0</v>
      </c>
    </row>
    <row r="486" spans="1:7" x14ac:dyDescent="0.25">
      <c r="A486" s="4"/>
      <c r="G486" s="3">
        <f t="shared" si="8"/>
        <v>0</v>
      </c>
    </row>
    <row r="487" spans="1:7" x14ac:dyDescent="0.25">
      <c r="A487" s="4"/>
      <c r="G487" s="3">
        <f t="shared" si="8"/>
        <v>0</v>
      </c>
    </row>
    <row r="488" spans="1:7" x14ac:dyDescent="0.25">
      <c r="A488" s="4"/>
      <c r="G488" s="3">
        <f t="shared" si="8"/>
        <v>0</v>
      </c>
    </row>
    <row r="489" spans="1:7" x14ac:dyDescent="0.25">
      <c r="A489" s="4"/>
      <c r="G489" s="3">
        <f t="shared" si="8"/>
        <v>0</v>
      </c>
    </row>
    <row r="490" spans="1:7" x14ac:dyDescent="0.25">
      <c r="A490" s="4"/>
      <c r="G490" s="3">
        <f t="shared" si="8"/>
        <v>0</v>
      </c>
    </row>
    <row r="491" spans="1:7" x14ac:dyDescent="0.25">
      <c r="A491" s="4"/>
      <c r="G491" s="3">
        <f t="shared" si="8"/>
        <v>0</v>
      </c>
    </row>
    <row r="492" spans="1:7" x14ac:dyDescent="0.25">
      <c r="A492" s="4"/>
      <c r="G492" s="3">
        <f t="shared" si="8"/>
        <v>0</v>
      </c>
    </row>
    <row r="493" spans="1:7" x14ac:dyDescent="0.25">
      <c r="A493" s="4"/>
      <c r="G493" s="3">
        <f t="shared" si="8"/>
        <v>0</v>
      </c>
    </row>
    <row r="494" spans="1:7" x14ac:dyDescent="0.25">
      <c r="A494" s="4"/>
      <c r="G494" s="3">
        <f t="shared" si="8"/>
        <v>0</v>
      </c>
    </row>
    <row r="495" spans="1:7" x14ac:dyDescent="0.25">
      <c r="A495" s="4"/>
      <c r="G495" s="3">
        <f t="shared" si="8"/>
        <v>0</v>
      </c>
    </row>
    <row r="496" spans="1:7" x14ac:dyDescent="0.25">
      <c r="A496" s="4"/>
      <c r="G496" s="3">
        <f t="shared" si="8"/>
        <v>0</v>
      </c>
    </row>
    <row r="497" spans="1:7" x14ac:dyDescent="0.25">
      <c r="A497" s="4"/>
      <c r="G497" s="3">
        <f t="shared" si="8"/>
        <v>0</v>
      </c>
    </row>
    <row r="498" spans="1:7" x14ac:dyDescent="0.25">
      <c r="A498" s="4"/>
      <c r="G498" s="3">
        <f t="shared" si="8"/>
        <v>0</v>
      </c>
    </row>
    <row r="499" spans="1:7" x14ac:dyDescent="0.25">
      <c r="A499" s="4"/>
      <c r="G499" s="3">
        <f t="shared" si="8"/>
        <v>0</v>
      </c>
    </row>
    <row r="500" spans="1:7" x14ac:dyDescent="0.25">
      <c r="A500" s="4"/>
      <c r="G500" s="3">
        <f t="shared" si="8"/>
        <v>0</v>
      </c>
    </row>
    <row r="501" spans="1:7" x14ac:dyDescent="0.25">
      <c r="A501" s="4"/>
      <c r="G501" s="3">
        <f t="shared" si="8"/>
        <v>0</v>
      </c>
    </row>
    <row r="502" spans="1:7" x14ac:dyDescent="0.25">
      <c r="A502" s="4"/>
      <c r="G502" s="3">
        <f t="shared" si="8"/>
        <v>0</v>
      </c>
    </row>
    <row r="503" spans="1:7" x14ac:dyDescent="0.25">
      <c r="A503" s="4"/>
      <c r="G503" s="3">
        <f t="shared" si="8"/>
        <v>0</v>
      </c>
    </row>
    <row r="504" spans="1:7" x14ac:dyDescent="0.25">
      <c r="A504" s="4"/>
      <c r="G504" s="3">
        <f t="shared" si="8"/>
        <v>0</v>
      </c>
    </row>
    <row r="505" spans="1:7" x14ac:dyDescent="0.25">
      <c r="A505" s="4"/>
      <c r="G505" s="3">
        <f t="shared" si="8"/>
        <v>0</v>
      </c>
    </row>
    <row r="506" spans="1:7" x14ac:dyDescent="0.25">
      <c r="A506" s="4"/>
      <c r="G506" s="3">
        <f t="shared" si="8"/>
        <v>0</v>
      </c>
    </row>
    <row r="507" spans="1:7" x14ac:dyDescent="0.25">
      <c r="A507" s="4"/>
      <c r="G507" s="3">
        <f t="shared" si="8"/>
        <v>0</v>
      </c>
    </row>
    <row r="508" spans="1:7" x14ac:dyDescent="0.25">
      <c r="A508" s="4"/>
      <c r="G508" s="3">
        <f t="shared" si="8"/>
        <v>0</v>
      </c>
    </row>
    <row r="509" spans="1:7" x14ac:dyDescent="0.25">
      <c r="A509" s="4"/>
      <c r="G509" s="3">
        <f t="shared" si="8"/>
        <v>0</v>
      </c>
    </row>
    <row r="510" spans="1:7" x14ac:dyDescent="0.25">
      <c r="A510" s="4"/>
      <c r="G510" s="3">
        <f t="shared" si="8"/>
        <v>0</v>
      </c>
    </row>
    <row r="511" spans="1:7" x14ac:dyDescent="0.25">
      <c r="A511" s="4"/>
      <c r="G511" s="3">
        <f t="shared" si="8"/>
        <v>0</v>
      </c>
    </row>
    <row r="512" spans="1:7" x14ac:dyDescent="0.25">
      <c r="A512" s="4"/>
      <c r="G512" s="3">
        <f t="shared" si="8"/>
        <v>0</v>
      </c>
    </row>
    <row r="513" spans="1:7" x14ac:dyDescent="0.25">
      <c r="A513" s="4"/>
      <c r="G513" s="3">
        <f t="shared" si="8"/>
        <v>0</v>
      </c>
    </row>
    <row r="514" spans="1:7" x14ac:dyDescent="0.25">
      <c r="A514" s="4"/>
      <c r="G514" s="3">
        <f t="shared" si="8"/>
        <v>0</v>
      </c>
    </row>
    <row r="515" spans="1:7" x14ac:dyDescent="0.25">
      <c r="A515" s="4"/>
      <c r="G515" s="3">
        <f t="shared" ref="G515:G578" si="9">D515+E515-F515</f>
        <v>0</v>
      </c>
    </row>
    <row r="516" spans="1:7" x14ac:dyDescent="0.25">
      <c r="A516" s="4"/>
      <c r="G516" s="3">
        <f t="shared" si="9"/>
        <v>0</v>
      </c>
    </row>
    <row r="517" spans="1:7" x14ac:dyDescent="0.25">
      <c r="A517" s="4"/>
      <c r="G517" s="3">
        <f t="shared" si="9"/>
        <v>0</v>
      </c>
    </row>
    <row r="518" spans="1:7" x14ac:dyDescent="0.25">
      <c r="A518" s="4"/>
      <c r="G518" s="3">
        <f t="shared" si="9"/>
        <v>0</v>
      </c>
    </row>
    <row r="519" spans="1:7" x14ac:dyDescent="0.25">
      <c r="A519" s="4"/>
      <c r="G519" s="3">
        <f t="shared" si="9"/>
        <v>0</v>
      </c>
    </row>
    <row r="520" spans="1:7" x14ac:dyDescent="0.25">
      <c r="A520" s="4"/>
      <c r="G520" s="3">
        <f t="shared" si="9"/>
        <v>0</v>
      </c>
    </row>
    <row r="521" spans="1:7" x14ac:dyDescent="0.25">
      <c r="A521" s="4"/>
      <c r="G521" s="3">
        <f t="shared" si="9"/>
        <v>0</v>
      </c>
    </row>
    <row r="522" spans="1:7" x14ac:dyDescent="0.25">
      <c r="A522" s="4"/>
      <c r="G522" s="3">
        <f t="shared" si="9"/>
        <v>0</v>
      </c>
    </row>
    <row r="523" spans="1:7" x14ac:dyDescent="0.25">
      <c r="A523" s="4"/>
      <c r="G523" s="3">
        <f t="shared" si="9"/>
        <v>0</v>
      </c>
    </row>
    <row r="524" spans="1:7" x14ac:dyDescent="0.25">
      <c r="A524" s="4"/>
      <c r="G524" s="3">
        <f t="shared" si="9"/>
        <v>0</v>
      </c>
    </row>
    <row r="525" spans="1:7" x14ac:dyDescent="0.25">
      <c r="A525" s="4"/>
      <c r="G525" s="3">
        <f t="shared" si="9"/>
        <v>0</v>
      </c>
    </row>
    <row r="526" spans="1:7" x14ac:dyDescent="0.25">
      <c r="A526" s="4"/>
      <c r="G526" s="3">
        <f t="shared" si="9"/>
        <v>0</v>
      </c>
    </row>
    <row r="527" spans="1:7" x14ac:dyDescent="0.25">
      <c r="A527" s="4"/>
      <c r="G527" s="3">
        <f t="shared" si="9"/>
        <v>0</v>
      </c>
    </row>
    <row r="528" spans="1:7" x14ac:dyDescent="0.25">
      <c r="A528" s="4"/>
      <c r="G528" s="3">
        <f t="shared" si="9"/>
        <v>0</v>
      </c>
    </row>
    <row r="529" spans="1:7" x14ac:dyDescent="0.25">
      <c r="A529" s="4"/>
      <c r="G529" s="3">
        <f t="shared" si="9"/>
        <v>0</v>
      </c>
    </row>
    <row r="530" spans="1:7" x14ac:dyDescent="0.25">
      <c r="A530" s="4"/>
      <c r="G530" s="3">
        <f t="shared" si="9"/>
        <v>0</v>
      </c>
    </row>
    <row r="531" spans="1:7" x14ac:dyDescent="0.25">
      <c r="A531" s="4"/>
      <c r="G531" s="3">
        <f t="shared" si="9"/>
        <v>0</v>
      </c>
    </row>
    <row r="532" spans="1:7" x14ac:dyDescent="0.25">
      <c r="A532" s="4"/>
      <c r="G532" s="3">
        <f t="shared" si="9"/>
        <v>0</v>
      </c>
    </row>
    <row r="533" spans="1:7" x14ac:dyDescent="0.25">
      <c r="A533" s="4"/>
      <c r="G533" s="3">
        <f t="shared" si="9"/>
        <v>0</v>
      </c>
    </row>
    <row r="534" spans="1:7" x14ac:dyDescent="0.25">
      <c r="A534" s="4"/>
      <c r="G534" s="3">
        <f t="shared" si="9"/>
        <v>0</v>
      </c>
    </row>
    <row r="535" spans="1:7" x14ac:dyDescent="0.25">
      <c r="A535" s="4"/>
      <c r="G535" s="3">
        <f t="shared" si="9"/>
        <v>0</v>
      </c>
    </row>
    <row r="536" spans="1:7" x14ac:dyDescent="0.25">
      <c r="A536" s="4"/>
      <c r="G536" s="3">
        <f t="shared" si="9"/>
        <v>0</v>
      </c>
    </row>
    <row r="537" spans="1:7" x14ac:dyDescent="0.25">
      <c r="A537" s="4"/>
      <c r="G537" s="3">
        <f t="shared" si="9"/>
        <v>0</v>
      </c>
    </row>
    <row r="538" spans="1:7" x14ac:dyDescent="0.25">
      <c r="A538" s="4"/>
      <c r="G538" s="3">
        <f t="shared" si="9"/>
        <v>0</v>
      </c>
    </row>
    <row r="539" spans="1:7" x14ac:dyDescent="0.25">
      <c r="A539" s="4"/>
      <c r="G539" s="3">
        <f t="shared" si="9"/>
        <v>0</v>
      </c>
    </row>
    <row r="540" spans="1:7" x14ac:dyDescent="0.25">
      <c r="A540" s="4"/>
      <c r="G540" s="3">
        <f t="shared" si="9"/>
        <v>0</v>
      </c>
    </row>
    <row r="541" spans="1:7" x14ac:dyDescent="0.25">
      <c r="A541" s="4"/>
      <c r="G541" s="3">
        <f t="shared" si="9"/>
        <v>0</v>
      </c>
    </row>
    <row r="542" spans="1:7" x14ac:dyDescent="0.25">
      <c r="A542" s="4"/>
      <c r="G542" s="3">
        <f t="shared" si="9"/>
        <v>0</v>
      </c>
    </row>
    <row r="543" spans="1:7" x14ac:dyDescent="0.25">
      <c r="A543" s="4"/>
      <c r="G543" s="3">
        <f t="shared" si="9"/>
        <v>0</v>
      </c>
    </row>
    <row r="544" spans="1:7" x14ac:dyDescent="0.25">
      <c r="A544" s="4"/>
      <c r="G544" s="3">
        <f t="shared" si="9"/>
        <v>0</v>
      </c>
    </row>
    <row r="545" spans="1:7" x14ac:dyDescent="0.25">
      <c r="A545" s="4"/>
      <c r="G545" s="3">
        <f t="shared" si="9"/>
        <v>0</v>
      </c>
    </row>
    <row r="546" spans="1:7" x14ac:dyDescent="0.25">
      <c r="A546" s="4"/>
      <c r="G546" s="3">
        <f t="shared" si="9"/>
        <v>0</v>
      </c>
    </row>
    <row r="547" spans="1:7" x14ac:dyDescent="0.25">
      <c r="A547" s="4"/>
      <c r="G547" s="3">
        <f t="shared" si="9"/>
        <v>0</v>
      </c>
    </row>
    <row r="548" spans="1:7" x14ac:dyDescent="0.25">
      <c r="A548" s="4"/>
      <c r="G548" s="3">
        <f t="shared" si="9"/>
        <v>0</v>
      </c>
    </row>
    <row r="549" spans="1:7" x14ac:dyDescent="0.25">
      <c r="A549" s="4"/>
      <c r="G549" s="3">
        <f t="shared" si="9"/>
        <v>0</v>
      </c>
    </row>
    <row r="550" spans="1:7" x14ac:dyDescent="0.25">
      <c r="A550" s="4"/>
      <c r="G550" s="3">
        <f t="shared" si="9"/>
        <v>0</v>
      </c>
    </row>
    <row r="551" spans="1:7" x14ac:dyDescent="0.25">
      <c r="A551" s="4"/>
      <c r="G551" s="3">
        <f t="shared" si="9"/>
        <v>0</v>
      </c>
    </row>
    <row r="552" spans="1:7" x14ac:dyDescent="0.25">
      <c r="A552" s="4"/>
      <c r="G552" s="3">
        <f t="shared" si="9"/>
        <v>0</v>
      </c>
    </row>
    <row r="553" spans="1:7" x14ac:dyDescent="0.25">
      <c r="A553" s="4"/>
      <c r="G553" s="3">
        <f t="shared" si="9"/>
        <v>0</v>
      </c>
    </row>
    <row r="554" spans="1:7" x14ac:dyDescent="0.25">
      <c r="A554" s="4"/>
      <c r="G554" s="3">
        <f t="shared" si="9"/>
        <v>0</v>
      </c>
    </row>
    <row r="555" spans="1:7" x14ac:dyDescent="0.25">
      <c r="A555" s="4"/>
      <c r="G555" s="3">
        <f t="shared" si="9"/>
        <v>0</v>
      </c>
    </row>
    <row r="556" spans="1:7" x14ac:dyDescent="0.25">
      <c r="A556" s="4"/>
      <c r="G556" s="3">
        <f t="shared" si="9"/>
        <v>0</v>
      </c>
    </row>
    <row r="557" spans="1:7" x14ac:dyDescent="0.25">
      <c r="A557" s="4"/>
      <c r="G557" s="3">
        <f t="shared" si="9"/>
        <v>0</v>
      </c>
    </row>
    <row r="558" spans="1:7" x14ac:dyDescent="0.25">
      <c r="A558" s="4"/>
      <c r="G558" s="3">
        <f t="shared" si="9"/>
        <v>0</v>
      </c>
    </row>
    <row r="559" spans="1:7" x14ac:dyDescent="0.25">
      <c r="A559" s="4"/>
      <c r="G559" s="3">
        <f t="shared" si="9"/>
        <v>0</v>
      </c>
    </row>
    <row r="560" spans="1:7" x14ac:dyDescent="0.25">
      <c r="A560" s="4"/>
      <c r="G560" s="3">
        <f t="shared" si="9"/>
        <v>0</v>
      </c>
    </row>
    <row r="561" spans="1:7" x14ac:dyDescent="0.25">
      <c r="A561" s="4"/>
      <c r="G561" s="3">
        <f t="shared" si="9"/>
        <v>0</v>
      </c>
    </row>
    <row r="562" spans="1:7" x14ac:dyDescent="0.25">
      <c r="A562" s="4"/>
      <c r="G562" s="3">
        <f t="shared" si="9"/>
        <v>0</v>
      </c>
    </row>
    <row r="563" spans="1:7" x14ac:dyDescent="0.25">
      <c r="A563" s="4"/>
      <c r="G563" s="3">
        <f t="shared" si="9"/>
        <v>0</v>
      </c>
    </row>
    <row r="564" spans="1:7" x14ac:dyDescent="0.25">
      <c r="A564" s="4"/>
      <c r="G564" s="3">
        <f t="shared" si="9"/>
        <v>0</v>
      </c>
    </row>
    <row r="565" spans="1:7" x14ac:dyDescent="0.25">
      <c r="A565" s="4"/>
      <c r="G565" s="3">
        <f t="shared" si="9"/>
        <v>0</v>
      </c>
    </row>
    <row r="566" spans="1:7" x14ac:dyDescent="0.25">
      <c r="A566" s="4"/>
      <c r="G566" s="3">
        <f t="shared" si="9"/>
        <v>0</v>
      </c>
    </row>
    <row r="567" spans="1:7" x14ac:dyDescent="0.25">
      <c r="A567" s="4"/>
      <c r="G567" s="3">
        <f t="shared" si="9"/>
        <v>0</v>
      </c>
    </row>
    <row r="568" spans="1:7" x14ac:dyDescent="0.25">
      <c r="A568" s="4"/>
      <c r="G568" s="3">
        <f t="shared" si="9"/>
        <v>0</v>
      </c>
    </row>
    <row r="569" spans="1:7" x14ac:dyDescent="0.25">
      <c r="A569" s="4"/>
      <c r="G569" s="3">
        <f t="shared" si="9"/>
        <v>0</v>
      </c>
    </row>
    <row r="570" spans="1:7" x14ac:dyDescent="0.25">
      <c r="A570" s="4"/>
      <c r="G570" s="3">
        <f t="shared" si="9"/>
        <v>0</v>
      </c>
    </row>
    <row r="571" spans="1:7" x14ac:dyDescent="0.25">
      <c r="A571" s="4"/>
      <c r="G571" s="3">
        <f t="shared" si="9"/>
        <v>0</v>
      </c>
    </row>
    <row r="572" spans="1:7" x14ac:dyDescent="0.25">
      <c r="A572" s="4"/>
      <c r="G572" s="3">
        <f t="shared" si="9"/>
        <v>0</v>
      </c>
    </row>
    <row r="573" spans="1:7" x14ac:dyDescent="0.25">
      <c r="A573" s="4"/>
      <c r="G573" s="3">
        <f t="shared" si="9"/>
        <v>0</v>
      </c>
    </row>
    <row r="574" spans="1:7" x14ac:dyDescent="0.25">
      <c r="A574" s="4"/>
      <c r="G574" s="3">
        <f t="shared" si="9"/>
        <v>0</v>
      </c>
    </row>
    <row r="575" spans="1:7" x14ac:dyDescent="0.25">
      <c r="A575" s="4"/>
      <c r="G575" s="3">
        <f t="shared" si="9"/>
        <v>0</v>
      </c>
    </row>
    <row r="576" spans="1:7" x14ac:dyDescent="0.25">
      <c r="A576" s="4"/>
      <c r="G576" s="3">
        <f t="shared" si="9"/>
        <v>0</v>
      </c>
    </row>
    <row r="577" spans="1:7" x14ac:dyDescent="0.25">
      <c r="A577" s="4"/>
      <c r="G577" s="3">
        <f t="shared" si="9"/>
        <v>0</v>
      </c>
    </row>
    <row r="578" spans="1:7" x14ac:dyDescent="0.25">
      <c r="A578" s="4"/>
      <c r="G578" s="3">
        <f t="shared" si="9"/>
        <v>0</v>
      </c>
    </row>
    <row r="579" spans="1:7" x14ac:dyDescent="0.25">
      <c r="A579" s="4"/>
      <c r="G579" s="3">
        <f t="shared" ref="G579:G642" si="10">D579+E579-F579</f>
        <v>0</v>
      </c>
    </row>
    <row r="580" spans="1:7" x14ac:dyDescent="0.25">
      <c r="A580" s="4"/>
      <c r="G580" s="3">
        <f t="shared" si="10"/>
        <v>0</v>
      </c>
    </row>
    <row r="581" spans="1:7" x14ac:dyDescent="0.25">
      <c r="A581" s="4"/>
      <c r="G581" s="3">
        <f t="shared" si="10"/>
        <v>0</v>
      </c>
    </row>
    <row r="582" spans="1:7" x14ac:dyDescent="0.25">
      <c r="A582" s="4"/>
      <c r="G582" s="3">
        <f t="shared" si="10"/>
        <v>0</v>
      </c>
    </row>
    <row r="583" spans="1:7" x14ac:dyDescent="0.25">
      <c r="A583" s="4"/>
      <c r="G583" s="3">
        <f t="shared" si="10"/>
        <v>0</v>
      </c>
    </row>
    <row r="584" spans="1:7" x14ac:dyDescent="0.25">
      <c r="A584" s="4"/>
      <c r="G584" s="3">
        <f t="shared" si="10"/>
        <v>0</v>
      </c>
    </row>
    <row r="585" spans="1:7" x14ac:dyDescent="0.25">
      <c r="A585" s="4"/>
      <c r="G585" s="3">
        <f t="shared" si="10"/>
        <v>0</v>
      </c>
    </row>
    <row r="586" spans="1:7" x14ac:dyDescent="0.25">
      <c r="A586" s="4"/>
      <c r="G586" s="3">
        <f t="shared" si="10"/>
        <v>0</v>
      </c>
    </row>
    <row r="587" spans="1:7" x14ac:dyDescent="0.25">
      <c r="A587" s="4"/>
      <c r="G587" s="3">
        <f t="shared" si="10"/>
        <v>0</v>
      </c>
    </row>
    <row r="588" spans="1:7" x14ac:dyDescent="0.25">
      <c r="A588" s="4"/>
      <c r="G588" s="3">
        <f t="shared" si="10"/>
        <v>0</v>
      </c>
    </row>
    <row r="589" spans="1:7" x14ac:dyDescent="0.25">
      <c r="A589" s="4"/>
      <c r="G589" s="3">
        <f t="shared" si="10"/>
        <v>0</v>
      </c>
    </row>
    <row r="590" spans="1:7" x14ac:dyDescent="0.25">
      <c r="A590" s="4"/>
      <c r="G590" s="3">
        <f t="shared" si="10"/>
        <v>0</v>
      </c>
    </row>
    <row r="591" spans="1:7" x14ac:dyDescent="0.25">
      <c r="A591" s="4"/>
      <c r="G591" s="3">
        <f t="shared" si="10"/>
        <v>0</v>
      </c>
    </row>
    <row r="592" spans="1:7" x14ac:dyDescent="0.25">
      <c r="A592" s="4"/>
      <c r="G592" s="3">
        <f t="shared" si="10"/>
        <v>0</v>
      </c>
    </row>
    <row r="593" spans="1:7" x14ac:dyDescent="0.25">
      <c r="A593" s="4"/>
      <c r="G593" s="3">
        <f t="shared" si="10"/>
        <v>0</v>
      </c>
    </row>
    <row r="594" spans="1:7" x14ac:dyDescent="0.25">
      <c r="A594" s="4"/>
      <c r="G594" s="3">
        <f t="shared" si="10"/>
        <v>0</v>
      </c>
    </row>
    <row r="595" spans="1:7" x14ac:dyDescent="0.25">
      <c r="A595" s="4"/>
      <c r="G595" s="3">
        <f t="shared" si="10"/>
        <v>0</v>
      </c>
    </row>
    <row r="596" spans="1:7" x14ac:dyDescent="0.25">
      <c r="A596" s="4"/>
      <c r="G596" s="3">
        <f t="shared" si="10"/>
        <v>0</v>
      </c>
    </row>
    <row r="597" spans="1:7" x14ac:dyDescent="0.25">
      <c r="A597" s="4"/>
      <c r="G597" s="3">
        <f t="shared" si="10"/>
        <v>0</v>
      </c>
    </row>
    <row r="598" spans="1:7" x14ac:dyDescent="0.25">
      <c r="A598" s="4"/>
      <c r="G598" s="3">
        <f t="shared" si="10"/>
        <v>0</v>
      </c>
    </row>
    <row r="599" spans="1:7" x14ac:dyDescent="0.25">
      <c r="A599" s="4"/>
      <c r="G599" s="3">
        <f t="shared" si="10"/>
        <v>0</v>
      </c>
    </row>
    <row r="600" spans="1:7" x14ac:dyDescent="0.25">
      <c r="A600" s="4"/>
      <c r="G600" s="3">
        <f t="shared" si="10"/>
        <v>0</v>
      </c>
    </row>
    <row r="601" spans="1:7" x14ac:dyDescent="0.25">
      <c r="A601" s="4"/>
      <c r="G601" s="3">
        <f t="shared" si="10"/>
        <v>0</v>
      </c>
    </row>
    <row r="602" spans="1:7" x14ac:dyDescent="0.25">
      <c r="A602" s="4"/>
      <c r="G602" s="3">
        <f t="shared" si="10"/>
        <v>0</v>
      </c>
    </row>
    <row r="603" spans="1:7" x14ac:dyDescent="0.25">
      <c r="A603" s="4"/>
      <c r="G603" s="3">
        <f t="shared" si="10"/>
        <v>0</v>
      </c>
    </row>
    <row r="604" spans="1:7" x14ac:dyDescent="0.25">
      <c r="A604" s="4"/>
      <c r="G604" s="3">
        <f t="shared" si="10"/>
        <v>0</v>
      </c>
    </row>
    <row r="605" spans="1:7" x14ac:dyDescent="0.25">
      <c r="A605" s="4"/>
      <c r="G605" s="3">
        <f t="shared" si="10"/>
        <v>0</v>
      </c>
    </row>
    <row r="606" spans="1:7" x14ac:dyDescent="0.25">
      <c r="A606" s="4"/>
      <c r="G606" s="3">
        <f t="shared" si="10"/>
        <v>0</v>
      </c>
    </row>
    <row r="607" spans="1:7" x14ac:dyDescent="0.25">
      <c r="A607" s="4"/>
      <c r="G607" s="3">
        <f t="shared" si="10"/>
        <v>0</v>
      </c>
    </row>
    <row r="608" spans="1:7" x14ac:dyDescent="0.25">
      <c r="A608" s="4"/>
      <c r="G608" s="3">
        <f t="shared" si="10"/>
        <v>0</v>
      </c>
    </row>
    <row r="609" spans="1:7" x14ac:dyDescent="0.25">
      <c r="A609" s="4"/>
      <c r="G609" s="3">
        <f t="shared" si="10"/>
        <v>0</v>
      </c>
    </row>
    <row r="610" spans="1:7" x14ac:dyDescent="0.25">
      <c r="A610" s="4"/>
      <c r="G610" s="3">
        <f t="shared" si="10"/>
        <v>0</v>
      </c>
    </row>
    <row r="611" spans="1:7" x14ac:dyDescent="0.25">
      <c r="A611" s="4"/>
      <c r="G611" s="3">
        <f t="shared" si="10"/>
        <v>0</v>
      </c>
    </row>
    <row r="612" spans="1:7" x14ac:dyDescent="0.25">
      <c r="A612" s="4"/>
      <c r="G612" s="3">
        <f t="shared" si="10"/>
        <v>0</v>
      </c>
    </row>
    <row r="613" spans="1:7" x14ac:dyDescent="0.25">
      <c r="A613" s="4"/>
      <c r="G613" s="3">
        <f t="shared" si="10"/>
        <v>0</v>
      </c>
    </row>
    <row r="614" spans="1:7" x14ac:dyDescent="0.25">
      <c r="A614" s="4"/>
      <c r="G614" s="3">
        <f t="shared" si="10"/>
        <v>0</v>
      </c>
    </row>
    <row r="615" spans="1:7" x14ac:dyDescent="0.25">
      <c r="A615" s="4"/>
      <c r="G615" s="3">
        <f t="shared" si="10"/>
        <v>0</v>
      </c>
    </row>
    <row r="616" spans="1:7" x14ac:dyDescent="0.25">
      <c r="A616" s="4"/>
      <c r="G616" s="3">
        <f t="shared" si="10"/>
        <v>0</v>
      </c>
    </row>
    <row r="617" spans="1:7" x14ac:dyDescent="0.25">
      <c r="A617" s="4"/>
      <c r="G617" s="3">
        <f t="shared" si="10"/>
        <v>0</v>
      </c>
    </row>
    <row r="618" spans="1:7" x14ac:dyDescent="0.25">
      <c r="A618" s="4"/>
      <c r="G618" s="3">
        <f t="shared" si="10"/>
        <v>0</v>
      </c>
    </row>
    <row r="619" spans="1:7" x14ac:dyDescent="0.25">
      <c r="A619" s="4"/>
      <c r="G619" s="3">
        <f t="shared" si="10"/>
        <v>0</v>
      </c>
    </row>
    <row r="620" spans="1:7" x14ac:dyDescent="0.25">
      <c r="A620" s="4"/>
      <c r="G620" s="3">
        <f t="shared" si="10"/>
        <v>0</v>
      </c>
    </row>
    <row r="621" spans="1:7" x14ac:dyDescent="0.25">
      <c r="A621" s="4"/>
      <c r="G621" s="3">
        <f t="shared" si="10"/>
        <v>0</v>
      </c>
    </row>
    <row r="622" spans="1:7" x14ac:dyDescent="0.25">
      <c r="A622" s="4"/>
      <c r="G622" s="3">
        <f t="shared" si="10"/>
        <v>0</v>
      </c>
    </row>
    <row r="623" spans="1:7" x14ac:dyDescent="0.25">
      <c r="A623" s="4"/>
      <c r="G623" s="3">
        <f t="shared" si="10"/>
        <v>0</v>
      </c>
    </row>
    <row r="624" spans="1:7" x14ac:dyDescent="0.25">
      <c r="A624" s="4"/>
      <c r="G624" s="3">
        <f t="shared" si="10"/>
        <v>0</v>
      </c>
    </row>
    <row r="625" spans="1:7" x14ac:dyDescent="0.25">
      <c r="A625" s="4"/>
      <c r="G625" s="3">
        <f t="shared" si="10"/>
        <v>0</v>
      </c>
    </row>
    <row r="626" spans="1:7" x14ac:dyDescent="0.25">
      <c r="A626" s="4"/>
      <c r="G626" s="3">
        <f t="shared" si="10"/>
        <v>0</v>
      </c>
    </row>
    <row r="627" spans="1:7" x14ac:dyDescent="0.25">
      <c r="A627" s="4"/>
      <c r="G627" s="3">
        <f t="shared" si="10"/>
        <v>0</v>
      </c>
    </row>
    <row r="628" spans="1:7" x14ac:dyDescent="0.25">
      <c r="A628" s="4"/>
      <c r="G628" s="3">
        <f t="shared" si="10"/>
        <v>0</v>
      </c>
    </row>
    <row r="629" spans="1:7" x14ac:dyDescent="0.25">
      <c r="A629" s="4"/>
      <c r="G629" s="3">
        <f t="shared" si="10"/>
        <v>0</v>
      </c>
    </row>
    <row r="630" spans="1:7" x14ac:dyDescent="0.25">
      <c r="A630" s="4"/>
      <c r="G630" s="3">
        <f t="shared" si="10"/>
        <v>0</v>
      </c>
    </row>
    <row r="631" spans="1:7" x14ac:dyDescent="0.25">
      <c r="A631" s="4"/>
      <c r="G631" s="3">
        <f t="shared" si="10"/>
        <v>0</v>
      </c>
    </row>
    <row r="632" spans="1:7" x14ac:dyDescent="0.25">
      <c r="A632" s="4"/>
      <c r="G632" s="3">
        <f t="shared" si="10"/>
        <v>0</v>
      </c>
    </row>
    <row r="633" spans="1:7" x14ac:dyDescent="0.25">
      <c r="A633" s="4"/>
      <c r="G633" s="3">
        <f t="shared" si="10"/>
        <v>0</v>
      </c>
    </row>
    <row r="634" spans="1:7" x14ac:dyDescent="0.25">
      <c r="A634" s="4"/>
      <c r="G634" s="3">
        <f t="shared" si="10"/>
        <v>0</v>
      </c>
    </row>
    <row r="635" spans="1:7" x14ac:dyDescent="0.25">
      <c r="A635" s="4"/>
      <c r="G635" s="3">
        <f t="shared" si="10"/>
        <v>0</v>
      </c>
    </row>
    <row r="636" spans="1:7" x14ac:dyDescent="0.25">
      <c r="A636" s="4"/>
      <c r="G636" s="3">
        <f t="shared" si="10"/>
        <v>0</v>
      </c>
    </row>
    <row r="637" spans="1:7" x14ac:dyDescent="0.25">
      <c r="A637" s="4"/>
      <c r="G637" s="3">
        <f t="shared" si="10"/>
        <v>0</v>
      </c>
    </row>
    <row r="638" spans="1:7" x14ac:dyDescent="0.25">
      <c r="A638" s="4"/>
      <c r="G638" s="3">
        <f t="shared" si="10"/>
        <v>0</v>
      </c>
    </row>
    <row r="639" spans="1:7" x14ac:dyDescent="0.25">
      <c r="A639" s="4"/>
      <c r="G639" s="3">
        <f t="shared" si="10"/>
        <v>0</v>
      </c>
    </row>
    <row r="640" spans="1:7" x14ac:dyDescent="0.25">
      <c r="A640" s="4"/>
      <c r="G640" s="3">
        <f t="shared" si="10"/>
        <v>0</v>
      </c>
    </row>
    <row r="641" spans="1:7" x14ac:dyDescent="0.25">
      <c r="A641" s="4"/>
      <c r="G641" s="3">
        <f t="shared" si="10"/>
        <v>0</v>
      </c>
    </row>
    <row r="642" spans="1:7" x14ac:dyDescent="0.25">
      <c r="A642" s="4"/>
      <c r="G642" s="3">
        <f t="shared" si="10"/>
        <v>0</v>
      </c>
    </row>
    <row r="643" spans="1:7" x14ac:dyDescent="0.25">
      <c r="A643" s="4"/>
      <c r="G643" s="3">
        <f t="shared" ref="G643:G706" si="11">D643+E643-F643</f>
        <v>0</v>
      </c>
    </row>
    <row r="644" spans="1:7" x14ac:dyDescent="0.25">
      <c r="A644" s="4"/>
      <c r="G644" s="3">
        <f t="shared" si="11"/>
        <v>0</v>
      </c>
    </row>
    <row r="645" spans="1:7" x14ac:dyDescent="0.25">
      <c r="A645" s="4"/>
      <c r="G645" s="3">
        <f t="shared" si="11"/>
        <v>0</v>
      </c>
    </row>
    <row r="646" spans="1:7" x14ac:dyDescent="0.25">
      <c r="A646" s="4"/>
      <c r="G646" s="3">
        <f t="shared" si="11"/>
        <v>0</v>
      </c>
    </row>
    <row r="647" spans="1:7" x14ac:dyDescent="0.25">
      <c r="A647" s="4"/>
      <c r="G647" s="3">
        <f t="shared" si="11"/>
        <v>0</v>
      </c>
    </row>
    <row r="648" spans="1:7" x14ac:dyDescent="0.25">
      <c r="A648" s="4"/>
      <c r="G648" s="3">
        <f t="shared" si="11"/>
        <v>0</v>
      </c>
    </row>
    <row r="649" spans="1:7" x14ac:dyDescent="0.25">
      <c r="A649" s="4"/>
      <c r="G649" s="3">
        <f t="shared" si="11"/>
        <v>0</v>
      </c>
    </row>
    <row r="650" spans="1:7" x14ac:dyDescent="0.25">
      <c r="A650" s="4"/>
      <c r="G650" s="3">
        <f t="shared" si="11"/>
        <v>0</v>
      </c>
    </row>
    <row r="651" spans="1:7" x14ac:dyDescent="0.25">
      <c r="A651" s="4"/>
      <c r="G651" s="3">
        <f t="shared" si="11"/>
        <v>0</v>
      </c>
    </row>
    <row r="652" spans="1:7" x14ac:dyDescent="0.25">
      <c r="A652" s="4"/>
      <c r="G652" s="3">
        <f t="shared" si="11"/>
        <v>0</v>
      </c>
    </row>
    <row r="653" spans="1:7" x14ac:dyDescent="0.25">
      <c r="A653" s="4"/>
      <c r="G653" s="3">
        <f t="shared" si="11"/>
        <v>0</v>
      </c>
    </row>
    <row r="654" spans="1:7" x14ac:dyDescent="0.25">
      <c r="A654" s="4"/>
      <c r="G654" s="3">
        <f t="shared" si="11"/>
        <v>0</v>
      </c>
    </row>
    <row r="655" spans="1:7" x14ac:dyDescent="0.25">
      <c r="A655" s="4"/>
      <c r="G655" s="3">
        <f t="shared" si="11"/>
        <v>0</v>
      </c>
    </row>
    <row r="656" spans="1:7" x14ac:dyDescent="0.25">
      <c r="A656" s="4"/>
      <c r="G656" s="3">
        <f t="shared" si="11"/>
        <v>0</v>
      </c>
    </row>
    <row r="657" spans="1:7" x14ac:dyDescent="0.25">
      <c r="A657" s="4"/>
      <c r="G657" s="3">
        <f t="shared" si="11"/>
        <v>0</v>
      </c>
    </row>
    <row r="658" spans="1:7" x14ac:dyDescent="0.25">
      <c r="A658" s="4"/>
      <c r="G658" s="3">
        <f t="shared" si="11"/>
        <v>0</v>
      </c>
    </row>
    <row r="659" spans="1:7" x14ac:dyDescent="0.25">
      <c r="A659" s="4"/>
      <c r="G659" s="3">
        <f t="shared" si="11"/>
        <v>0</v>
      </c>
    </row>
    <row r="660" spans="1:7" x14ac:dyDescent="0.25">
      <c r="A660" s="4"/>
      <c r="G660" s="3">
        <f t="shared" si="11"/>
        <v>0</v>
      </c>
    </row>
    <row r="661" spans="1:7" x14ac:dyDescent="0.25">
      <c r="A661" s="4"/>
      <c r="G661" s="3">
        <f t="shared" si="11"/>
        <v>0</v>
      </c>
    </row>
    <row r="662" spans="1:7" x14ac:dyDescent="0.25">
      <c r="A662" s="4"/>
      <c r="G662" s="3">
        <f t="shared" si="11"/>
        <v>0</v>
      </c>
    </row>
    <row r="663" spans="1:7" x14ac:dyDescent="0.25">
      <c r="A663" s="4"/>
      <c r="G663" s="3">
        <f t="shared" si="11"/>
        <v>0</v>
      </c>
    </row>
    <row r="664" spans="1:7" x14ac:dyDescent="0.25">
      <c r="A664" s="4"/>
      <c r="G664" s="3">
        <f t="shared" si="11"/>
        <v>0</v>
      </c>
    </row>
    <row r="665" spans="1:7" x14ac:dyDescent="0.25">
      <c r="A665" s="4"/>
      <c r="G665" s="3">
        <f t="shared" si="11"/>
        <v>0</v>
      </c>
    </row>
    <row r="666" spans="1:7" x14ac:dyDescent="0.25">
      <c r="A666" s="4"/>
      <c r="G666" s="3">
        <f t="shared" si="11"/>
        <v>0</v>
      </c>
    </row>
    <row r="667" spans="1:7" x14ac:dyDescent="0.25">
      <c r="A667" s="4"/>
      <c r="G667" s="3">
        <f t="shared" si="11"/>
        <v>0</v>
      </c>
    </row>
    <row r="668" spans="1:7" x14ac:dyDescent="0.25">
      <c r="A668" s="4"/>
      <c r="G668" s="3">
        <f t="shared" si="11"/>
        <v>0</v>
      </c>
    </row>
    <row r="669" spans="1:7" x14ac:dyDescent="0.25">
      <c r="A669" s="4"/>
      <c r="G669" s="3">
        <f t="shared" si="11"/>
        <v>0</v>
      </c>
    </row>
    <row r="670" spans="1:7" x14ac:dyDescent="0.25">
      <c r="A670" s="4"/>
      <c r="G670" s="3">
        <f t="shared" si="11"/>
        <v>0</v>
      </c>
    </row>
    <row r="671" spans="1:7" x14ac:dyDescent="0.25">
      <c r="A671" s="4"/>
      <c r="G671" s="3">
        <f t="shared" si="11"/>
        <v>0</v>
      </c>
    </row>
    <row r="672" spans="1:7" x14ac:dyDescent="0.25">
      <c r="A672" s="4"/>
      <c r="G672" s="3">
        <f t="shared" si="11"/>
        <v>0</v>
      </c>
    </row>
    <row r="673" spans="1:7" x14ac:dyDescent="0.25">
      <c r="A673" s="4"/>
      <c r="G673" s="3">
        <f t="shared" si="11"/>
        <v>0</v>
      </c>
    </row>
    <row r="674" spans="1:7" x14ac:dyDescent="0.25">
      <c r="A674" s="4"/>
      <c r="G674" s="3">
        <f t="shared" si="11"/>
        <v>0</v>
      </c>
    </row>
    <row r="675" spans="1:7" x14ac:dyDescent="0.25">
      <c r="A675" s="4"/>
      <c r="G675" s="3">
        <f t="shared" si="11"/>
        <v>0</v>
      </c>
    </row>
    <row r="676" spans="1:7" x14ac:dyDescent="0.25">
      <c r="A676" s="4"/>
      <c r="G676" s="3">
        <f t="shared" si="11"/>
        <v>0</v>
      </c>
    </row>
    <row r="677" spans="1:7" x14ac:dyDescent="0.25">
      <c r="A677" s="4"/>
      <c r="G677" s="3">
        <f t="shared" si="11"/>
        <v>0</v>
      </c>
    </row>
    <row r="678" spans="1:7" x14ac:dyDescent="0.25">
      <c r="A678" s="4"/>
      <c r="G678" s="3">
        <f t="shared" si="11"/>
        <v>0</v>
      </c>
    </row>
    <row r="679" spans="1:7" x14ac:dyDescent="0.25">
      <c r="A679" s="4"/>
      <c r="G679" s="3">
        <f t="shared" si="11"/>
        <v>0</v>
      </c>
    </row>
    <row r="680" spans="1:7" x14ac:dyDescent="0.25">
      <c r="A680" s="4"/>
      <c r="G680" s="3">
        <f t="shared" si="11"/>
        <v>0</v>
      </c>
    </row>
    <row r="681" spans="1:7" x14ac:dyDescent="0.25">
      <c r="A681" s="4"/>
      <c r="G681" s="3">
        <f t="shared" si="11"/>
        <v>0</v>
      </c>
    </row>
    <row r="682" spans="1:7" x14ac:dyDescent="0.25">
      <c r="A682" s="4"/>
      <c r="G682" s="3">
        <f t="shared" si="11"/>
        <v>0</v>
      </c>
    </row>
    <row r="683" spans="1:7" x14ac:dyDescent="0.25">
      <c r="A683" s="4"/>
      <c r="G683" s="3">
        <f t="shared" si="11"/>
        <v>0</v>
      </c>
    </row>
    <row r="684" spans="1:7" x14ac:dyDescent="0.25">
      <c r="A684" s="4"/>
      <c r="G684" s="3">
        <f t="shared" si="11"/>
        <v>0</v>
      </c>
    </row>
    <row r="685" spans="1:7" x14ac:dyDescent="0.25">
      <c r="A685" s="4"/>
      <c r="G685" s="3">
        <f t="shared" si="11"/>
        <v>0</v>
      </c>
    </row>
    <row r="686" spans="1:7" x14ac:dyDescent="0.25">
      <c r="A686" s="4"/>
      <c r="G686" s="3">
        <f t="shared" si="11"/>
        <v>0</v>
      </c>
    </row>
    <row r="687" spans="1:7" x14ac:dyDescent="0.25">
      <c r="A687" s="4"/>
      <c r="G687" s="3">
        <f t="shared" si="11"/>
        <v>0</v>
      </c>
    </row>
    <row r="688" spans="1:7" x14ac:dyDescent="0.25">
      <c r="A688" s="4"/>
      <c r="G688" s="3">
        <f t="shared" si="11"/>
        <v>0</v>
      </c>
    </row>
    <row r="689" spans="1:7" x14ac:dyDescent="0.25">
      <c r="A689" s="4"/>
      <c r="G689" s="3">
        <f t="shared" si="11"/>
        <v>0</v>
      </c>
    </row>
    <row r="690" spans="1:7" x14ac:dyDescent="0.25">
      <c r="A690" s="4"/>
      <c r="G690" s="3">
        <f t="shared" si="11"/>
        <v>0</v>
      </c>
    </row>
    <row r="691" spans="1:7" x14ac:dyDescent="0.25">
      <c r="A691" s="4"/>
      <c r="G691" s="3">
        <f t="shared" si="11"/>
        <v>0</v>
      </c>
    </row>
    <row r="692" spans="1:7" x14ac:dyDescent="0.25">
      <c r="A692" s="4"/>
      <c r="G692" s="3">
        <f t="shared" si="11"/>
        <v>0</v>
      </c>
    </row>
    <row r="693" spans="1:7" x14ac:dyDescent="0.25">
      <c r="A693" s="4"/>
      <c r="G693" s="3">
        <f t="shared" si="11"/>
        <v>0</v>
      </c>
    </row>
    <row r="694" spans="1:7" x14ac:dyDescent="0.25">
      <c r="A694" s="4"/>
      <c r="G694" s="3">
        <f t="shared" si="11"/>
        <v>0</v>
      </c>
    </row>
    <row r="695" spans="1:7" x14ac:dyDescent="0.25">
      <c r="A695" s="4"/>
      <c r="G695" s="3">
        <f t="shared" si="11"/>
        <v>0</v>
      </c>
    </row>
    <row r="696" spans="1:7" x14ac:dyDescent="0.25">
      <c r="A696" s="4"/>
      <c r="G696" s="3">
        <f t="shared" si="11"/>
        <v>0</v>
      </c>
    </row>
    <row r="697" spans="1:7" x14ac:dyDescent="0.25">
      <c r="A697" s="4"/>
      <c r="G697" s="3">
        <f t="shared" si="11"/>
        <v>0</v>
      </c>
    </row>
    <row r="698" spans="1:7" x14ac:dyDescent="0.25">
      <c r="A698" s="4"/>
      <c r="G698" s="3">
        <f t="shared" si="11"/>
        <v>0</v>
      </c>
    </row>
    <row r="699" spans="1:7" x14ac:dyDescent="0.25">
      <c r="A699" s="4"/>
      <c r="G699" s="3">
        <f t="shared" si="11"/>
        <v>0</v>
      </c>
    </row>
    <row r="700" spans="1:7" x14ac:dyDescent="0.25">
      <c r="A700" s="4"/>
      <c r="G700" s="3">
        <f t="shared" si="11"/>
        <v>0</v>
      </c>
    </row>
    <row r="701" spans="1:7" x14ac:dyDescent="0.25">
      <c r="A701" s="4"/>
      <c r="G701" s="3">
        <f t="shared" si="11"/>
        <v>0</v>
      </c>
    </row>
    <row r="702" spans="1:7" x14ac:dyDescent="0.25">
      <c r="A702" s="4"/>
      <c r="G702" s="3">
        <f t="shared" si="11"/>
        <v>0</v>
      </c>
    </row>
    <row r="703" spans="1:7" x14ac:dyDescent="0.25">
      <c r="A703" s="4"/>
      <c r="G703" s="3">
        <f t="shared" si="11"/>
        <v>0</v>
      </c>
    </row>
    <row r="704" spans="1:7" x14ac:dyDescent="0.25">
      <c r="A704" s="4"/>
      <c r="G704" s="3">
        <f t="shared" si="11"/>
        <v>0</v>
      </c>
    </row>
    <row r="705" spans="1:7" x14ac:dyDescent="0.25">
      <c r="A705" s="4"/>
      <c r="G705" s="3">
        <f t="shared" si="11"/>
        <v>0</v>
      </c>
    </row>
    <row r="706" spans="1:7" x14ac:dyDescent="0.25">
      <c r="A706" s="4"/>
      <c r="G706" s="3">
        <f t="shared" si="11"/>
        <v>0</v>
      </c>
    </row>
    <row r="707" spans="1:7" x14ac:dyDescent="0.25">
      <c r="A707" s="4"/>
      <c r="G707" s="3">
        <f t="shared" ref="G707:G770" si="12">D707+E707-F707</f>
        <v>0</v>
      </c>
    </row>
    <row r="708" spans="1:7" x14ac:dyDescent="0.25">
      <c r="A708" s="4"/>
      <c r="G708" s="3">
        <f t="shared" si="12"/>
        <v>0</v>
      </c>
    </row>
    <row r="709" spans="1:7" x14ac:dyDescent="0.25">
      <c r="A709" s="4"/>
      <c r="G709" s="3">
        <f t="shared" si="12"/>
        <v>0</v>
      </c>
    </row>
    <row r="710" spans="1:7" x14ac:dyDescent="0.25">
      <c r="A710" s="4"/>
      <c r="G710" s="3">
        <f t="shared" si="12"/>
        <v>0</v>
      </c>
    </row>
    <row r="711" spans="1:7" x14ac:dyDescent="0.25">
      <c r="A711" s="4"/>
      <c r="G711" s="3">
        <f t="shared" si="12"/>
        <v>0</v>
      </c>
    </row>
    <row r="712" spans="1:7" x14ac:dyDescent="0.25">
      <c r="A712" s="4"/>
      <c r="G712" s="3">
        <f t="shared" si="12"/>
        <v>0</v>
      </c>
    </row>
    <row r="713" spans="1:7" x14ac:dyDescent="0.25">
      <c r="A713" s="4"/>
      <c r="G713" s="3">
        <f t="shared" si="12"/>
        <v>0</v>
      </c>
    </row>
    <row r="714" spans="1:7" x14ac:dyDescent="0.25">
      <c r="A714" s="4"/>
      <c r="G714" s="3">
        <f t="shared" si="12"/>
        <v>0</v>
      </c>
    </row>
    <row r="715" spans="1:7" x14ac:dyDescent="0.25">
      <c r="A715" s="4"/>
      <c r="G715" s="3">
        <f t="shared" si="12"/>
        <v>0</v>
      </c>
    </row>
    <row r="716" spans="1:7" x14ac:dyDescent="0.25">
      <c r="A716" s="4"/>
      <c r="G716" s="3">
        <f t="shared" si="12"/>
        <v>0</v>
      </c>
    </row>
    <row r="717" spans="1:7" x14ac:dyDescent="0.25">
      <c r="A717" s="4"/>
      <c r="G717" s="3">
        <f t="shared" si="12"/>
        <v>0</v>
      </c>
    </row>
    <row r="718" spans="1:7" x14ac:dyDescent="0.25">
      <c r="A718" s="4"/>
      <c r="G718" s="3">
        <f t="shared" si="12"/>
        <v>0</v>
      </c>
    </row>
    <row r="719" spans="1:7" x14ac:dyDescent="0.25">
      <c r="A719" s="4"/>
      <c r="G719" s="3">
        <f t="shared" si="12"/>
        <v>0</v>
      </c>
    </row>
    <row r="720" spans="1:7" x14ac:dyDescent="0.25">
      <c r="A720" s="4"/>
      <c r="G720" s="3">
        <f t="shared" si="12"/>
        <v>0</v>
      </c>
    </row>
    <row r="721" spans="1:7" x14ac:dyDescent="0.25">
      <c r="A721" s="4"/>
      <c r="G721" s="3">
        <f t="shared" si="12"/>
        <v>0</v>
      </c>
    </row>
    <row r="722" spans="1:7" x14ac:dyDescent="0.25">
      <c r="A722" s="4"/>
      <c r="G722" s="3">
        <f t="shared" si="12"/>
        <v>0</v>
      </c>
    </row>
    <row r="723" spans="1:7" x14ac:dyDescent="0.25">
      <c r="A723" s="4"/>
      <c r="G723" s="3">
        <f t="shared" si="12"/>
        <v>0</v>
      </c>
    </row>
    <row r="724" spans="1:7" x14ac:dyDescent="0.25">
      <c r="A724" s="4"/>
      <c r="G724" s="3">
        <f t="shared" si="12"/>
        <v>0</v>
      </c>
    </row>
    <row r="725" spans="1:7" x14ac:dyDescent="0.25">
      <c r="A725" s="4"/>
      <c r="G725" s="3">
        <f t="shared" si="12"/>
        <v>0</v>
      </c>
    </row>
    <row r="726" spans="1:7" x14ac:dyDescent="0.25">
      <c r="A726" s="4"/>
      <c r="G726" s="3">
        <f t="shared" si="12"/>
        <v>0</v>
      </c>
    </row>
    <row r="727" spans="1:7" x14ac:dyDescent="0.25">
      <c r="A727" s="4"/>
      <c r="G727" s="3">
        <f t="shared" si="12"/>
        <v>0</v>
      </c>
    </row>
    <row r="728" spans="1:7" x14ac:dyDescent="0.25">
      <c r="A728" s="4"/>
      <c r="G728" s="3">
        <f t="shared" si="12"/>
        <v>0</v>
      </c>
    </row>
    <row r="729" spans="1:7" x14ac:dyDescent="0.25">
      <c r="A729" s="4"/>
      <c r="G729" s="3">
        <f t="shared" si="12"/>
        <v>0</v>
      </c>
    </row>
    <row r="730" spans="1:7" x14ac:dyDescent="0.25">
      <c r="A730" s="4"/>
      <c r="G730" s="3">
        <f t="shared" si="12"/>
        <v>0</v>
      </c>
    </row>
    <row r="731" spans="1:7" x14ac:dyDescent="0.25">
      <c r="A731" s="4"/>
      <c r="G731" s="3">
        <f t="shared" si="12"/>
        <v>0</v>
      </c>
    </row>
    <row r="732" spans="1:7" x14ac:dyDescent="0.25">
      <c r="A732" s="4"/>
      <c r="G732" s="3">
        <f t="shared" si="12"/>
        <v>0</v>
      </c>
    </row>
    <row r="733" spans="1:7" x14ac:dyDescent="0.25">
      <c r="A733" s="4"/>
      <c r="G733" s="3">
        <f t="shared" si="12"/>
        <v>0</v>
      </c>
    </row>
    <row r="734" spans="1:7" x14ac:dyDescent="0.25">
      <c r="A734" s="4"/>
      <c r="G734" s="3">
        <f t="shared" si="12"/>
        <v>0</v>
      </c>
    </row>
    <row r="735" spans="1:7" x14ac:dyDescent="0.25">
      <c r="A735" s="4"/>
      <c r="G735" s="3">
        <f t="shared" si="12"/>
        <v>0</v>
      </c>
    </row>
    <row r="736" spans="1:7" x14ac:dyDescent="0.25">
      <c r="A736" s="4"/>
      <c r="G736" s="3">
        <f t="shared" si="12"/>
        <v>0</v>
      </c>
    </row>
    <row r="737" spans="1:7" x14ac:dyDescent="0.25">
      <c r="A737" s="4"/>
      <c r="G737" s="3">
        <f t="shared" si="12"/>
        <v>0</v>
      </c>
    </row>
    <row r="738" spans="1:7" x14ac:dyDescent="0.25">
      <c r="A738" s="4"/>
      <c r="G738" s="3">
        <f t="shared" si="12"/>
        <v>0</v>
      </c>
    </row>
    <row r="739" spans="1:7" x14ac:dyDescent="0.25">
      <c r="A739" s="4"/>
      <c r="G739" s="3">
        <f t="shared" si="12"/>
        <v>0</v>
      </c>
    </row>
    <row r="740" spans="1:7" x14ac:dyDescent="0.25">
      <c r="A740" s="4"/>
      <c r="G740" s="3">
        <f t="shared" si="12"/>
        <v>0</v>
      </c>
    </row>
    <row r="741" spans="1:7" x14ac:dyDescent="0.25">
      <c r="A741" s="4"/>
      <c r="G741" s="3">
        <f t="shared" si="12"/>
        <v>0</v>
      </c>
    </row>
    <row r="742" spans="1:7" x14ac:dyDescent="0.25">
      <c r="A742" s="4"/>
      <c r="G742" s="3">
        <f t="shared" si="12"/>
        <v>0</v>
      </c>
    </row>
    <row r="743" spans="1:7" x14ac:dyDescent="0.25">
      <c r="A743" s="4"/>
      <c r="G743" s="3">
        <f t="shared" si="12"/>
        <v>0</v>
      </c>
    </row>
    <row r="744" spans="1:7" x14ac:dyDescent="0.25">
      <c r="A744" s="4"/>
      <c r="G744" s="3">
        <f t="shared" si="12"/>
        <v>0</v>
      </c>
    </row>
    <row r="745" spans="1:7" x14ac:dyDescent="0.25">
      <c r="A745" s="4"/>
      <c r="G745" s="3">
        <f t="shared" si="12"/>
        <v>0</v>
      </c>
    </row>
    <row r="746" spans="1:7" x14ac:dyDescent="0.25">
      <c r="A746" s="4"/>
      <c r="G746" s="3">
        <f t="shared" si="12"/>
        <v>0</v>
      </c>
    </row>
    <row r="747" spans="1:7" x14ac:dyDescent="0.25">
      <c r="A747" s="4"/>
      <c r="G747" s="3">
        <f t="shared" si="12"/>
        <v>0</v>
      </c>
    </row>
    <row r="748" spans="1:7" x14ac:dyDescent="0.25">
      <c r="A748" s="4"/>
      <c r="G748" s="3">
        <f t="shared" si="12"/>
        <v>0</v>
      </c>
    </row>
    <row r="749" spans="1:7" x14ac:dyDescent="0.25">
      <c r="A749" s="4"/>
      <c r="G749" s="3">
        <f t="shared" si="12"/>
        <v>0</v>
      </c>
    </row>
    <row r="750" spans="1:7" x14ac:dyDescent="0.25">
      <c r="A750" s="4"/>
      <c r="G750" s="3">
        <f t="shared" si="12"/>
        <v>0</v>
      </c>
    </row>
    <row r="751" spans="1:7" x14ac:dyDescent="0.25">
      <c r="A751" s="4"/>
      <c r="G751" s="3">
        <f t="shared" si="12"/>
        <v>0</v>
      </c>
    </row>
    <row r="752" spans="1:7" x14ac:dyDescent="0.25">
      <c r="A752" s="4"/>
      <c r="G752" s="3">
        <f t="shared" si="12"/>
        <v>0</v>
      </c>
    </row>
    <row r="753" spans="1:7" x14ac:dyDescent="0.25">
      <c r="A753" s="4"/>
      <c r="G753" s="3">
        <f t="shared" si="12"/>
        <v>0</v>
      </c>
    </row>
    <row r="754" spans="1:7" x14ac:dyDescent="0.25">
      <c r="A754" s="4"/>
      <c r="G754" s="3">
        <f t="shared" si="12"/>
        <v>0</v>
      </c>
    </row>
    <row r="755" spans="1:7" x14ac:dyDescent="0.25">
      <c r="A755" s="4"/>
      <c r="G755" s="3">
        <f t="shared" si="12"/>
        <v>0</v>
      </c>
    </row>
    <row r="756" spans="1:7" x14ac:dyDescent="0.25">
      <c r="A756" s="4"/>
      <c r="G756" s="3">
        <f t="shared" si="12"/>
        <v>0</v>
      </c>
    </row>
    <row r="757" spans="1:7" x14ac:dyDescent="0.25">
      <c r="A757" s="4"/>
      <c r="G757" s="3">
        <f t="shared" si="12"/>
        <v>0</v>
      </c>
    </row>
    <row r="758" spans="1:7" x14ac:dyDescent="0.25">
      <c r="A758" s="4"/>
      <c r="G758" s="3">
        <f t="shared" si="12"/>
        <v>0</v>
      </c>
    </row>
    <row r="759" spans="1:7" x14ac:dyDescent="0.25">
      <c r="A759" s="4"/>
      <c r="G759" s="3">
        <f t="shared" si="12"/>
        <v>0</v>
      </c>
    </row>
    <row r="760" spans="1:7" x14ac:dyDescent="0.25">
      <c r="A760" s="4"/>
      <c r="G760" s="3">
        <f t="shared" si="12"/>
        <v>0</v>
      </c>
    </row>
    <row r="761" spans="1:7" x14ac:dyDescent="0.25">
      <c r="A761" s="4"/>
      <c r="G761" s="3">
        <f t="shared" si="12"/>
        <v>0</v>
      </c>
    </row>
    <row r="762" spans="1:7" x14ac:dyDescent="0.25">
      <c r="A762" s="4"/>
      <c r="G762" s="3">
        <f t="shared" si="12"/>
        <v>0</v>
      </c>
    </row>
    <row r="763" spans="1:7" x14ac:dyDescent="0.25">
      <c r="A763" s="4"/>
      <c r="G763" s="3">
        <f t="shared" si="12"/>
        <v>0</v>
      </c>
    </row>
    <row r="764" spans="1:7" x14ac:dyDescent="0.25">
      <c r="A764" s="4"/>
      <c r="G764" s="3">
        <f t="shared" si="12"/>
        <v>0</v>
      </c>
    </row>
    <row r="765" spans="1:7" x14ac:dyDescent="0.25">
      <c r="A765" s="4"/>
      <c r="G765" s="3">
        <f t="shared" si="12"/>
        <v>0</v>
      </c>
    </row>
    <row r="766" spans="1:7" x14ac:dyDescent="0.25">
      <c r="A766" s="4"/>
      <c r="G766" s="3">
        <f t="shared" si="12"/>
        <v>0</v>
      </c>
    </row>
    <row r="767" spans="1:7" x14ac:dyDescent="0.25">
      <c r="A767" s="4"/>
      <c r="G767" s="3">
        <f t="shared" si="12"/>
        <v>0</v>
      </c>
    </row>
    <row r="768" spans="1:7" x14ac:dyDescent="0.25">
      <c r="A768" s="4"/>
      <c r="G768" s="3">
        <f t="shared" si="12"/>
        <v>0</v>
      </c>
    </row>
    <row r="769" spans="1:7" x14ac:dyDescent="0.25">
      <c r="A769" s="4"/>
      <c r="G769" s="3">
        <f t="shared" si="12"/>
        <v>0</v>
      </c>
    </row>
    <row r="770" spans="1:7" x14ac:dyDescent="0.25">
      <c r="A770" s="4"/>
      <c r="G770" s="3">
        <f t="shared" si="12"/>
        <v>0</v>
      </c>
    </row>
    <row r="771" spans="1:7" x14ac:dyDescent="0.25">
      <c r="A771" s="4"/>
      <c r="G771" s="3">
        <f t="shared" ref="G771:G834" si="13">D771+E771-F771</f>
        <v>0</v>
      </c>
    </row>
    <row r="772" spans="1:7" x14ac:dyDescent="0.25">
      <c r="A772" s="4"/>
      <c r="G772" s="3">
        <f t="shared" si="13"/>
        <v>0</v>
      </c>
    </row>
    <row r="773" spans="1:7" x14ac:dyDescent="0.25">
      <c r="A773" s="4"/>
      <c r="G773" s="3">
        <f t="shared" si="13"/>
        <v>0</v>
      </c>
    </row>
    <row r="774" spans="1:7" x14ac:dyDescent="0.25">
      <c r="A774" s="4"/>
      <c r="G774" s="3">
        <f t="shared" si="13"/>
        <v>0</v>
      </c>
    </row>
    <row r="775" spans="1:7" x14ac:dyDescent="0.25">
      <c r="A775" s="4"/>
      <c r="G775" s="3">
        <f t="shared" si="13"/>
        <v>0</v>
      </c>
    </row>
    <row r="776" spans="1:7" x14ac:dyDescent="0.25">
      <c r="A776" s="4"/>
      <c r="G776" s="3">
        <f t="shared" si="13"/>
        <v>0</v>
      </c>
    </row>
    <row r="777" spans="1:7" x14ac:dyDescent="0.25">
      <c r="A777" s="4"/>
      <c r="G777" s="3">
        <f t="shared" si="13"/>
        <v>0</v>
      </c>
    </row>
    <row r="778" spans="1:7" x14ac:dyDescent="0.25">
      <c r="A778" s="4"/>
      <c r="G778" s="3">
        <f t="shared" si="13"/>
        <v>0</v>
      </c>
    </row>
    <row r="779" spans="1:7" x14ac:dyDescent="0.25">
      <c r="A779" s="4"/>
      <c r="G779" s="3">
        <f t="shared" si="13"/>
        <v>0</v>
      </c>
    </row>
    <row r="780" spans="1:7" x14ac:dyDescent="0.25">
      <c r="A780" s="4"/>
      <c r="G780" s="3">
        <f t="shared" si="13"/>
        <v>0</v>
      </c>
    </row>
    <row r="781" spans="1:7" x14ac:dyDescent="0.25">
      <c r="A781" s="4"/>
      <c r="G781" s="3">
        <f t="shared" si="13"/>
        <v>0</v>
      </c>
    </row>
    <row r="782" spans="1:7" x14ac:dyDescent="0.25">
      <c r="A782" s="4"/>
      <c r="G782" s="3">
        <f t="shared" si="13"/>
        <v>0</v>
      </c>
    </row>
    <row r="783" spans="1:7" x14ac:dyDescent="0.25">
      <c r="A783" s="4"/>
      <c r="G783" s="3">
        <f t="shared" si="13"/>
        <v>0</v>
      </c>
    </row>
    <row r="784" spans="1:7" x14ac:dyDescent="0.25">
      <c r="A784" s="4"/>
      <c r="G784" s="3">
        <f t="shared" si="13"/>
        <v>0</v>
      </c>
    </row>
    <row r="785" spans="1:7" x14ac:dyDescent="0.25">
      <c r="A785" s="4"/>
      <c r="G785" s="3">
        <f t="shared" si="13"/>
        <v>0</v>
      </c>
    </row>
    <row r="786" spans="1:7" x14ac:dyDescent="0.25">
      <c r="A786" s="4"/>
      <c r="G786" s="3">
        <f t="shared" si="13"/>
        <v>0</v>
      </c>
    </row>
    <row r="787" spans="1:7" x14ac:dyDescent="0.25">
      <c r="A787" s="4"/>
      <c r="G787" s="3">
        <f t="shared" si="13"/>
        <v>0</v>
      </c>
    </row>
    <row r="788" spans="1:7" x14ac:dyDescent="0.25">
      <c r="A788" s="4"/>
      <c r="G788" s="3">
        <f t="shared" si="13"/>
        <v>0</v>
      </c>
    </row>
    <row r="789" spans="1:7" x14ac:dyDescent="0.25">
      <c r="A789" s="4"/>
      <c r="G789" s="3">
        <f t="shared" si="13"/>
        <v>0</v>
      </c>
    </row>
    <row r="790" spans="1:7" x14ac:dyDescent="0.25">
      <c r="A790" s="4"/>
      <c r="G790" s="3">
        <f t="shared" si="13"/>
        <v>0</v>
      </c>
    </row>
    <row r="791" spans="1:7" x14ac:dyDescent="0.25">
      <c r="A791" s="4"/>
      <c r="G791" s="3">
        <f t="shared" si="13"/>
        <v>0</v>
      </c>
    </row>
    <row r="792" spans="1:7" x14ac:dyDescent="0.25">
      <c r="A792" s="4"/>
      <c r="G792" s="3">
        <f t="shared" si="13"/>
        <v>0</v>
      </c>
    </row>
    <row r="793" spans="1:7" x14ac:dyDescent="0.25">
      <c r="A793" s="4"/>
      <c r="G793" s="3">
        <f t="shared" si="13"/>
        <v>0</v>
      </c>
    </row>
    <row r="794" spans="1:7" x14ac:dyDescent="0.25">
      <c r="A794" s="4"/>
      <c r="G794" s="3">
        <f t="shared" si="13"/>
        <v>0</v>
      </c>
    </row>
    <row r="795" spans="1:7" x14ac:dyDescent="0.25">
      <c r="A795" s="4"/>
      <c r="G795" s="3">
        <f t="shared" si="13"/>
        <v>0</v>
      </c>
    </row>
    <row r="796" spans="1:7" x14ac:dyDescent="0.25">
      <c r="A796" s="4"/>
      <c r="G796" s="3">
        <f t="shared" si="13"/>
        <v>0</v>
      </c>
    </row>
    <row r="797" spans="1:7" x14ac:dyDescent="0.25">
      <c r="A797" s="4"/>
      <c r="G797" s="3">
        <f t="shared" si="13"/>
        <v>0</v>
      </c>
    </row>
    <row r="798" spans="1:7" x14ac:dyDescent="0.25">
      <c r="A798" s="4"/>
      <c r="G798" s="3">
        <f t="shared" si="13"/>
        <v>0</v>
      </c>
    </row>
    <row r="799" spans="1:7" x14ac:dyDescent="0.25">
      <c r="A799" s="4"/>
      <c r="G799" s="3">
        <f t="shared" si="13"/>
        <v>0</v>
      </c>
    </row>
    <row r="800" spans="1:7" x14ac:dyDescent="0.25">
      <c r="A800" s="4"/>
      <c r="G800" s="3">
        <f t="shared" si="13"/>
        <v>0</v>
      </c>
    </row>
    <row r="801" spans="1:7" x14ac:dyDescent="0.25">
      <c r="A801" s="4"/>
      <c r="G801" s="3">
        <f t="shared" si="13"/>
        <v>0</v>
      </c>
    </row>
    <row r="802" spans="1:7" x14ac:dyDescent="0.25">
      <c r="A802" s="4"/>
      <c r="G802" s="3">
        <f t="shared" si="13"/>
        <v>0</v>
      </c>
    </row>
    <row r="803" spans="1:7" x14ac:dyDescent="0.25">
      <c r="A803" s="4"/>
      <c r="G803" s="3">
        <f t="shared" si="13"/>
        <v>0</v>
      </c>
    </row>
    <row r="804" spans="1:7" x14ac:dyDescent="0.25">
      <c r="A804" s="4"/>
      <c r="G804" s="3">
        <f t="shared" si="13"/>
        <v>0</v>
      </c>
    </row>
    <row r="805" spans="1:7" x14ac:dyDescent="0.25">
      <c r="A805" s="4"/>
      <c r="G805" s="3">
        <f t="shared" si="13"/>
        <v>0</v>
      </c>
    </row>
    <row r="806" spans="1:7" x14ac:dyDescent="0.25">
      <c r="A806" s="4"/>
      <c r="G806" s="3">
        <f t="shared" si="13"/>
        <v>0</v>
      </c>
    </row>
    <row r="807" spans="1:7" x14ac:dyDescent="0.25">
      <c r="A807" s="4"/>
      <c r="G807" s="3">
        <f t="shared" si="13"/>
        <v>0</v>
      </c>
    </row>
    <row r="808" spans="1:7" x14ac:dyDescent="0.25">
      <c r="A808" s="4"/>
      <c r="G808" s="3">
        <f t="shared" si="13"/>
        <v>0</v>
      </c>
    </row>
    <row r="809" spans="1:7" x14ac:dyDescent="0.25">
      <c r="A809" s="4"/>
      <c r="G809" s="3">
        <f t="shared" si="13"/>
        <v>0</v>
      </c>
    </row>
    <row r="810" spans="1:7" x14ac:dyDescent="0.25">
      <c r="A810" s="4"/>
      <c r="G810" s="3">
        <f t="shared" si="13"/>
        <v>0</v>
      </c>
    </row>
    <row r="811" spans="1:7" x14ac:dyDescent="0.25">
      <c r="A811" s="4"/>
      <c r="G811" s="3">
        <f t="shared" si="13"/>
        <v>0</v>
      </c>
    </row>
    <row r="812" spans="1:7" x14ac:dyDescent="0.25">
      <c r="A812" s="4"/>
      <c r="G812" s="3">
        <f t="shared" si="13"/>
        <v>0</v>
      </c>
    </row>
    <row r="813" spans="1:7" x14ac:dyDescent="0.25">
      <c r="A813" s="4"/>
      <c r="G813" s="3">
        <f t="shared" si="13"/>
        <v>0</v>
      </c>
    </row>
    <row r="814" spans="1:7" x14ac:dyDescent="0.25">
      <c r="A814" s="4"/>
      <c r="G814" s="3">
        <f t="shared" si="13"/>
        <v>0</v>
      </c>
    </row>
    <row r="815" spans="1:7" x14ac:dyDescent="0.25">
      <c r="A815" s="4"/>
      <c r="G815" s="3">
        <f t="shared" si="13"/>
        <v>0</v>
      </c>
    </row>
    <row r="816" spans="1:7" x14ac:dyDescent="0.25">
      <c r="A816" s="4"/>
      <c r="G816" s="3">
        <f t="shared" si="13"/>
        <v>0</v>
      </c>
    </row>
    <row r="817" spans="1:7" x14ac:dyDescent="0.25">
      <c r="A817" s="4"/>
      <c r="G817" s="3">
        <f t="shared" si="13"/>
        <v>0</v>
      </c>
    </row>
    <row r="818" spans="1:7" x14ac:dyDescent="0.25">
      <c r="A818" s="4"/>
      <c r="G818" s="3">
        <f t="shared" si="13"/>
        <v>0</v>
      </c>
    </row>
    <row r="819" spans="1:7" x14ac:dyDescent="0.25">
      <c r="A819" s="4"/>
      <c r="G819" s="3">
        <f t="shared" si="13"/>
        <v>0</v>
      </c>
    </row>
    <row r="820" spans="1:7" x14ac:dyDescent="0.25">
      <c r="A820" s="4"/>
      <c r="G820" s="3">
        <f t="shared" si="13"/>
        <v>0</v>
      </c>
    </row>
    <row r="821" spans="1:7" x14ac:dyDescent="0.25">
      <c r="A821" s="4"/>
      <c r="G821" s="3">
        <f t="shared" si="13"/>
        <v>0</v>
      </c>
    </row>
    <row r="822" spans="1:7" x14ac:dyDescent="0.25">
      <c r="A822" s="4"/>
      <c r="G822" s="3">
        <f t="shared" si="13"/>
        <v>0</v>
      </c>
    </row>
    <row r="823" spans="1:7" x14ac:dyDescent="0.25">
      <c r="A823" s="4"/>
      <c r="G823" s="3">
        <f t="shared" si="13"/>
        <v>0</v>
      </c>
    </row>
    <row r="824" spans="1:7" x14ac:dyDescent="0.25">
      <c r="A824" s="4"/>
      <c r="G824" s="3">
        <f t="shared" si="13"/>
        <v>0</v>
      </c>
    </row>
    <row r="825" spans="1:7" x14ac:dyDescent="0.25">
      <c r="A825" s="4"/>
      <c r="G825" s="3">
        <f t="shared" si="13"/>
        <v>0</v>
      </c>
    </row>
    <row r="826" spans="1:7" x14ac:dyDescent="0.25">
      <c r="A826" s="4"/>
      <c r="G826" s="3">
        <f t="shared" si="13"/>
        <v>0</v>
      </c>
    </row>
    <row r="827" spans="1:7" x14ac:dyDescent="0.25">
      <c r="A827" s="4"/>
      <c r="G827" s="3">
        <f t="shared" si="13"/>
        <v>0</v>
      </c>
    </row>
    <row r="828" spans="1:7" x14ac:dyDescent="0.25">
      <c r="A828" s="4"/>
      <c r="G828" s="3">
        <f t="shared" si="13"/>
        <v>0</v>
      </c>
    </row>
    <row r="829" spans="1:7" x14ac:dyDescent="0.25">
      <c r="A829" s="4"/>
      <c r="G829" s="3">
        <f t="shared" si="13"/>
        <v>0</v>
      </c>
    </row>
    <row r="830" spans="1:7" x14ac:dyDescent="0.25">
      <c r="A830" s="4"/>
      <c r="G830" s="3">
        <f t="shared" si="13"/>
        <v>0</v>
      </c>
    </row>
    <row r="831" spans="1:7" x14ac:dyDescent="0.25">
      <c r="A831" s="4"/>
      <c r="G831" s="3">
        <f t="shared" si="13"/>
        <v>0</v>
      </c>
    </row>
    <row r="832" spans="1:7" x14ac:dyDescent="0.25">
      <c r="A832" s="4"/>
      <c r="G832" s="3">
        <f t="shared" si="13"/>
        <v>0</v>
      </c>
    </row>
    <row r="833" spans="1:7" x14ac:dyDescent="0.25">
      <c r="A833" s="4"/>
      <c r="G833" s="3">
        <f t="shared" si="13"/>
        <v>0</v>
      </c>
    </row>
    <row r="834" spans="1:7" x14ac:dyDescent="0.25">
      <c r="A834" s="4"/>
      <c r="G834" s="3">
        <f t="shared" si="13"/>
        <v>0</v>
      </c>
    </row>
    <row r="835" spans="1:7" x14ac:dyDescent="0.25">
      <c r="A835" s="4"/>
      <c r="G835" s="3">
        <f t="shared" ref="G835:G898" si="14">D835+E835-F835</f>
        <v>0</v>
      </c>
    </row>
    <row r="836" spans="1:7" x14ac:dyDescent="0.25">
      <c r="A836" s="4"/>
      <c r="G836" s="3">
        <f t="shared" si="14"/>
        <v>0</v>
      </c>
    </row>
    <row r="837" spans="1:7" x14ac:dyDescent="0.25">
      <c r="A837" s="4"/>
      <c r="G837" s="3">
        <f t="shared" si="14"/>
        <v>0</v>
      </c>
    </row>
    <row r="838" spans="1:7" x14ac:dyDescent="0.25">
      <c r="A838" s="4"/>
      <c r="G838" s="3">
        <f t="shared" si="14"/>
        <v>0</v>
      </c>
    </row>
    <row r="839" spans="1:7" x14ac:dyDescent="0.25">
      <c r="A839" s="4"/>
      <c r="G839" s="3">
        <f t="shared" si="14"/>
        <v>0</v>
      </c>
    </row>
    <row r="840" spans="1:7" x14ac:dyDescent="0.25">
      <c r="A840" s="4"/>
      <c r="G840" s="3">
        <f t="shared" si="14"/>
        <v>0</v>
      </c>
    </row>
    <row r="841" spans="1:7" x14ac:dyDescent="0.25">
      <c r="A841" s="4"/>
      <c r="G841" s="3">
        <f t="shared" si="14"/>
        <v>0</v>
      </c>
    </row>
    <row r="842" spans="1:7" x14ac:dyDescent="0.25">
      <c r="A842" s="4"/>
      <c r="G842" s="3">
        <f t="shared" si="14"/>
        <v>0</v>
      </c>
    </row>
    <row r="843" spans="1:7" x14ac:dyDescent="0.25">
      <c r="A843" s="4"/>
      <c r="G843" s="3">
        <f t="shared" si="14"/>
        <v>0</v>
      </c>
    </row>
    <row r="844" spans="1:7" x14ac:dyDescent="0.25">
      <c r="A844" s="4"/>
      <c r="G844" s="3">
        <f t="shared" si="14"/>
        <v>0</v>
      </c>
    </row>
    <row r="845" spans="1:7" x14ac:dyDescent="0.25">
      <c r="A845" s="4"/>
      <c r="G845" s="3">
        <f t="shared" si="14"/>
        <v>0</v>
      </c>
    </row>
    <row r="846" spans="1:7" x14ac:dyDescent="0.25">
      <c r="A846" s="4"/>
      <c r="G846" s="3">
        <f t="shared" si="14"/>
        <v>0</v>
      </c>
    </row>
    <row r="847" spans="1:7" x14ac:dyDescent="0.25">
      <c r="A847" s="4"/>
      <c r="G847" s="3">
        <f t="shared" si="14"/>
        <v>0</v>
      </c>
    </row>
    <row r="848" spans="1:7" x14ac:dyDescent="0.25">
      <c r="A848" s="4"/>
      <c r="G848" s="3">
        <f t="shared" si="14"/>
        <v>0</v>
      </c>
    </row>
    <row r="849" spans="1:7" x14ac:dyDescent="0.25">
      <c r="A849" s="4"/>
      <c r="G849" s="3">
        <f t="shared" si="14"/>
        <v>0</v>
      </c>
    </row>
    <row r="850" spans="1:7" x14ac:dyDescent="0.25">
      <c r="A850" s="4"/>
      <c r="G850" s="3">
        <f t="shared" si="14"/>
        <v>0</v>
      </c>
    </row>
    <row r="851" spans="1:7" x14ac:dyDescent="0.25">
      <c r="A851" s="4"/>
      <c r="G851" s="3">
        <f t="shared" si="14"/>
        <v>0</v>
      </c>
    </row>
    <row r="852" spans="1:7" x14ac:dyDescent="0.25">
      <c r="A852" s="4"/>
      <c r="G852" s="3">
        <f t="shared" si="14"/>
        <v>0</v>
      </c>
    </row>
    <row r="853" spans="1:7" x14ac:dyDescent="0.25">
      <c r="A853" s="4"/>
      <c r="G853" s="3">
        <f t="shared" si="14"/>
        <v>0</v>
      </c>
    </row>
    <row r="854" spans="1:7" x14ac:dyDescent="0.25">
      <c r="A854" s="4"/>
      <c r="G854" s="3">
        <f t="shared" si="14"/>
        <v>0</v>
      </c>
    </row>
    <row r="855" spans="1:7" x14ac:dyDescent="0.25">
      <c r="A855" s="4"/>
      <c r="G855" s="3">
        <f t="shared" si="14"/>
        <v>0</v>
      </c>
    </row>
    <row r="856" spans="1:7" x14ac:dyDescent="0.25">
      <c r="A856" s="4"/>
      <c r="G856" s="3">
        <f t="shared" si="14"/>
        <v>0</v>
      </c>
    </row>
    <row r="857" spans="1:7" x14ac:dyDescent="0.25">
      <c r="A857" s="4"/>
      <c r="G857" s="3">
        <f t="shared" si="14"/>
        <v>0</v>
      </c>
    </row>
    <row r="858" spans="1:7" x14ac:dyDescent="0.25">
      <c r="A858" s="4"/>
      <c r="G858" s="3">
        <f t="shared" si="14"/>
        <v>0</v>
      </c>
    </row>
    <row r="859" spans="1:7" x14ac:dyDescent="0.25">
      <c r="A859" s="4"/>
      <c r="G859" s="3">
        <f t="shared" si="14"/>
        <v>0</v>
      </c>
    </row>
    <row r="860" spans="1:7" x14ac:dyDescent="0.25">
      <c r="A860" s="4"/>
      <c r="G860" s="3">
        <f t="shared" si="14"/>
        <v>0</v>
      </c>
    </row>
    <row r="861" spans="1:7" x14ac:dyDescent="0.25">
      <c r="A861" s="4"/>
      <c r="G861" s="3">
        <f t="shared" si="14"/>
        <v>0</v>
      </c>
    </row>
    <row r="862" spans="1:7" x14ac:dyDescent="0.25">
      <c r="A862" s="4"/>
      <c r="G862" s="3">
        <f t="shared" si="14"/>
        <v>0</v>
      </c>
    </row>
    <row r="863" spans="1:7" x14ac:dyDescent="0.25">
      <c r="A863" s="4"/>
      <c r="G863" s="3">
        <f t="shared" si="14"/>
        <v>0</v>
      </c>
    </row>
    <row r="864" spans="1:7" x14ac:dyDescent="0.25">
      <c r="A864" s="4"/>
      <c r="G864" s="3">
        <f t="shared" si="14"/>
        <v>0</v>
      </c>
    </row>
    <row r="865" spans="1:7" x14ac:dyDescent="0.25">
      <c r="A865" s="4"/>
      <c r="G865" s="3">
        <f t="shared" si="14"/>
        <v>0</v>
      </c>
    </row>
    <row r="866" spans="1:7" x14ac:dyDescent="0.25">
      <c r="A866" s="4"/>
      <c r="G866" s="3">
        <f t="shared" si="14"/>
        <v>0</v>
      </c>
    </row>
    <row r="867" spans="1:7" x14ac:dyDescent="0.25">
      <c r="A867" s="4"/>
      <c r="G867" s="3">
        <f t="shared" si="14"/>
        <v>0</v>
      </c>
    </row>
    <row r="868" spans="1:7" x14ac:dyDescent="0.25">
      <c r="A868" s="4"/>
      <c r="G868" s="3">
        <f t="shared" si="14"/>
        <v>0</v>
      </c>
    </row>
    <row r="869" spans="1:7" x14ac:dyDescent="0.25">
      <c r="A869" s="4"/>
      <c r="G869" s="3">
        <f t="shared" si="14"/>
        <v>0</v>
      </c>
    </row>
    <row r="870" spans="1:7" x14ac:dyDescent="0.25">
      <c r="A870" s="4"/>
      <c r="G870" s="3">
        <f t="shared" si="14"/>
        <v>0</v>
      </c>
    </row>
    <row r="871" spans="1:7" x14ac:dyDescent="0.25">
      <c r="A871" s="4"/>
      <c r="G871" s="3">
        <f t="shared" si="14"/>
        <v>0</v>
      </c>
    </row>
    <row r="872" spans="1:7" x14ac:dyDescent="0.25">
      <c r="A872" s="4"/>
      <c r="G872" s="3">
        <f t="shared" si="14"/>
        <v>0</v>
      </c>
    </row>
    <row r="873" spans="1:7" x14ac:dyDescent="0.25">
      <c r="A873" s="4"/>
      <c r="G873" s="3">
        <f t="shared" si="14"/>
        <v>0</v>
      </c>
    </row>
    <row r="874" spans="1:7" x14ac:dyDescent="0.25">
      <c r="A874" s="4"/>
      <c r="G874" s="3">
        <f t="shared" si="14"/>
        <v>0</v>
      </c>
    </row>
    <row r="875" spans="1:7" x14ac:dyDescent="0.25">
      <c r="A875" s="4"/>
      <c r="G875" s="3">
        <f t="shared" si="14"/>
        <v>0</v>
      </c>
    </row>
    <row r="876" spans="1:7" x14ac:dyDescent="0.25">
      <c r="A876" s="4"/>
      <c r="G876" s="3">
        <f t="shared" si="14"/>
        <v>0</v>
      </c>
    </row>
    <row r="877" spans="1:7" x14ac:dyDescent="0.25">
      <c r="A877" s="4"/>
      <c r="G877" s="3">
        <f t="shared" si="14"/>
        <v>0</v>
      </c>
    </row>
    <row r="878" spans="1:7" x14ac:dyDescent="0.25">
      <c r="A878" s="4"/>
      <c r="G878" s="3">
        <f t="shared" si="14"/>
        <v>0</v>
      </c>
    </row>
    <row r="879" spans="1:7" x14ac:dyDescent="0.25">
      <c r="A879" s="4"/>
      <c r="G879" s="3">
        <f t="shared" si="14"/>
        <v>0</v>
      </c>
    </row>
    <row r="880" spans="1:7" x14ac:dyDescent="0.25">
      <c r="A880" s="4"/>
      <c r="G880" s="3">
        <f t="shared" si="14"/>
        <v>0</v>
      </c>
    </row>
    <row r="881" spans="1:7" x14ac:dyDescent="0.25">
      <c r="A881" s="4"/>
      <c r="G881" s="3">
        <f t="shared" si="14"/>
        <v>0</v>
      </c>
    </row>
    <row r="882" spans="1:7" x14ac:dyDescent="0.25">
      <c r="A882" s="4"/>
      <c r="G882" s="3">
        <f t="shared" si="14"/>
        <v>0</v>
      </c>
    </row>
    <row r="883" spans="1:7" x14ac:dyDescent="0.25">
      <c r="A883" s="4"/>
      <c r="G883" s="3">
        <f t="shared" si="14"/>
        <v>0</v>
      </c>
    </row>
    <row r="884" spans="1:7" x14ac:dyDescent="0.25">
      <c r="A884" s="4"/>
      <c r="G884" s="3">
        <f t="shared" si="14"/>
        <v>0</v>
      </c>
    </row>
    <row r="885" spans="1:7" x14ac:dyDescent="0.25">
      <c r="A885" s="4"/>
      <c r="G885" s="3">
        <f t="shared" si="14"/>
        <v>0</v>
      </c>
    </row>
    <row r="886" spans="1:7" x14ac:dyDescent="0.25">
      <c r="A886" s="4"/>
      <c r="G886" s="3">
        <f t="shared" si="14"/>
        <v>0</v>
      </c>
    </row>
    <row r="887" spans="1:7" x14ac:dyDescent="0.25">
      <c r="A887" s="4"/>
      <c r="G887" s="3">
        <f t="shared" si="14"/>
        <v>0</v>
      </c>
    </row>
    <row r="888" spans="1:7" x14ac:dyDescent="0.25">
      <c r="A888" s="4"/>
      <c r="G888" s="3">
        <f t="shared" si="14"/>
        <v>0</v>
      </c>
    </row>
    <row r="889" spans="1:7" x14ac:dyDescent="0.25">
      <c r="A889" s="4"/>
      <c r="G889" s="3">
        <f t="shared" si="14"/>
        <v>0</v>
      </c>
    </row>
    <row r="890" spans="1:7" x14ac:dyDescent="0.25">
      <c r="A890" s="4"/>
      <c r="G890" s="3">
        <f t="shared" si="14"/>
        <v>0</v>
      </c>
    </row>
    <row r="891" spans="1:7" x14ac:dyDescent="0.25">
      <c r="A891" s="4"/>
      <c r="G891" s="3">
        <f t="shared" si="14"/>
        <v>0</v>
      </c>
    </row>
    <row r="892" spans="1:7" x14ac:dyDescent="0.25">
      <c r="A892" s="4"/>
      <c r="G892" s="3">
        <f t="shared" si="14"/>
        <v>0</v>
      </c>
    </row>
    <row r="893" spans="1:7" x14ac:dyDescent="0.25">
      <c r="A893" s="4"/>
      <c r="G893" s="3">
        <f t="shared" si="14"/>
        <v>0</v>
      </c>
    </row>
    <row r="894" spans="1:7" x14ac:dyDescent="0.25">
      <c r="A894" s="4"/>
      <c r="G894" s="3">
        <f t="shared" si="14"/>
        <v>0</v>
      </c>
    </row>
    <row r="895" spans="1:7" x14ac:dyDescent="0.25">
      <c r="A895" s="4"/>
      <c r="G895" s="3">
        <f t="shared" si="14"/>
        <v>0</v>
      </c>
    </row>
    <row r="896" spans="1:7" x14ac:dyDescent="0.25">
      <c r="A896" s="4"/>
      <c r="G896" s="3">
        <f t="shared" si="14"/>
        <v>0</v>
      </c>
    </row>
    <row r="897" spans="1:7" x14ac:dyDescent="0.25">
      <c r="A897" s="4"/>
      <c r="G897" s="3">
        <f t="shared" si="14"/>
        <v>0</v>
      </c>
    </row>
    <row r="898" spans="1:7" x14ac:dyDescent="0.25">
      <c r="A898" s="4"/>
      <c r="G898" s="3">
        <f t="shared" si="14"/>
        <v>0</v>
      </c>
    </row>
    <row r="899" spans="1:7" x14ac:dyDescent="0.25">
      <c r="A899" s="4"/>
      <c r="G899" s="3">
        <f t="shared" ref="G899:G962" si="15">D899+E899-F899</f>
        <v>0</v>
      </c>
    </row>
    <row r="900" spans="1:7" x14ac:dyDescent="0.25">
      <c r="A900" s="4"/>
      <c r="G900" s="3">
        <f t="shared" si="15"/>
        <v>0</v>
      </c>
    </row>
    <row r="901" spans="1:7" x14ac:dyDescent="0.25">
      <c r="A901" s="4"/>
      <c r="G901" s="3">
        <f t="shared" si="15"/>
        <v>0</v>
      </c>
    </row>
    <row r="902" spans="1:7" x14ac:dyDescent="0.25">
      <c r="A902" s="4"/>
      <c r="G902" s="3">
        <f t="shared" si="15"/>
        <v>0</v>
      </c>
    </row>
    <row r="903" spans="1:7" x14ac:dyDescent="0.25">
      <c r="A903" s="4"/>
      <c r="G903" s="3">
        <f t="shared" si="15"/>
        <v>0</v>
      </c>
    </row>
    <row r="904" spans="1:7" x14ac:dyDescent="0.25">
      <c r="A904" s="4"/>
      <c r="G904" s="3">
        <f t="shared" si="15"/>
        <v>0</v>
      </c>
    </row>
    <row r="905" spans="1:7" x14ac:dyDescent="0.25">
      <c r="A905" s="4"/>
      <c r="G905" s="3">
        <f t="shared" si="15"/>
        <v>0</v>
      </c>
    </row>
    <row r="906" spans="1:7" x14ac:dyDescent="0.25">
      <c r="A906" s="4"/>
      <c r="G906" s="3">
        <f t="shared" si="15"/>
        <v>0</v>
      </c>
    </row>
    <row r="907" spans="1:7" x14ac:dyDescent="0.25">
      <c r="A907" s="4"/>
      <c r="G907" s="3">
        <f t="shared" si="15"/>
        <v>0</v>
      </c>
    </row>
    <row r="908" spans="1:7" x14ac:dyDescent="0.25">
      <c r="A908" s="4"/>
      <c r="G908" s="3">
        <f t="shared" si="15"/>
        <v>0</v>
      </c>
    </row>
    <row r="909" spans="1:7" x14ac:dyDescent="0.25">
      <c r="A909" s="4"/>
      <c r="G909" s="3">
        <f t="shared" si="15"/>
        <v>0</v>
      </c>
    </row>
    <row r="910" spans="1:7" x14ac:dyDescent="0.25">
      <c r="A910" s="4"/>
      <c r="G910" s="3">
        <f t="shared" si="15"/>
        <v>0</v>
      </c>
    </row>
    <row r="911" spans="1:7" x14ac:dyDescent="0.25">
      <c r="A911" s="4"/>
      <c r="G911" s="3">
        <f t="shared" si="15"/>
        <v>0</v>
      </c>
    </row>
    <row r="912" spans="1:7" x14ac:dyDescent="0.25">
      <c r="A912" s="4"/>
      <c r="G912" s="3">
        <f t="shared" si="15"/>
        <v>0</v>
      </c>
    </row>
    <row r="913" spans="1:7" x14ac:dyDescent="0.25">
      <c r="A913" s="4"/>
      <c r="G913" s="3">
        <f t="shared" si="15"/>
        <v>0</v>
      </c>
    </row>
    <row r="914" spans="1:7" x14ac:dyDescent="0.25">
      <c r="A914" s="4"/>
      <c r="G914" s="3">
        <f t="shared" si="15"/>
        <v>0</v>
      </c>
    </row>
    <row r="915" spans="1:7" x14ac:dyDescent="0.25">
      <c r="A915" s="4"/>
      <c r="G915" s="3">
        <f t="shared" si="15"/>
        <v>0</v>
      </c>
    </row>
    <row r="916" spans="1:7" x14ac:dyDescent="0.25">
      <c r="A916" s="4"/>
      <c r="G916" s="3">
        <f t="shared" si="15"/>
        <v>0</v>
      </c>
    </row>
    <row r="917" spans="1:7" x14ac:dyDescent="0.25">
      <c r="A917" s="4"/>
      <c r="G917" s="3">
        <f t="shared" si="15"/>
        <v>0</v>
      </c>
    </row>
    <row r="918" spans="1:7" x14ac:dyDescent="0.25">
      <c r="A918" s="4"/>
      <c r="G918" s="3">
        <f t="shared" si="15"/>
        <v>0</v>
      </c>
    </row>
    <row r="919" spans="1:7" x14ac:dyDescent="0.25">
      <c r="A919" s="4"/>
      <c r="G919" s="3">
        <f t="shared" si="15"/>
        <v>0</v>
      </c>
    </row>
    <row r="920" spans="1:7" x14ac:dyDescent="0.25">
      <c r="A920" s="4"/>
      <c r="G920" s="3">
        <f t="shared" si="15"/>
        <v>0</v>
      </c>
    </row>
    <row r="921" spans="1:7" x14ac:dyDescent="0.25">
      <c r="A921" s="4"/>
      <c r="G921" s="3">
        <f t="shared" si="15"/>
        <v>0</v>
      </c>
    </row>
    <row r="922" spans="1:7" x14ac:dyDescent="0.25">
      <c r="A922" s="4"/>
      <c r="G922" s="3">
        <f t="shared" si="15"/>
        <v>0</v>
      </c>
    </row>
    <row r="923" spans="1:7" x14ac:dyDescent="0.25">
      <c r="A923" s="4"/>
      <c r="G923" s="3">
        <f t="shared" si="15"/>
        <v>0</v>
      </c>
    </row>
    <row r="924" spans="1:7" x14ac:dyDescent="0.25">
      <c r="A924" s="4"/>
      <c r="G924" s="3">
        <f t="shared" si="15"/>
        <v>0</v>
      </c>
    </row>
    <row r="925" spans="1:7" x14ac:dyDescent="0.25">
      <c r="A925" s="4"/>
      <c r="G925" s="3">
        <f t="shared" si="15"/>
        <v>0</v>
      </c>
    </row>
    <row r="926" spans="1:7" x14ac:dyDescent="0.25">
      <c r="A926" s="4"/>
      <c r="G926" s="3">
        <f t="shared" si="15"/>
        <v>0</v>
      </c>
    </row>
    <row r="927" spans="1:7" x14ac:dyDescent="0.25">
      <c r="A927" s="4"/>
      <c r="G927" s="3">
        <f t="shared" si="15"/>
        <v>0</v>
      </c>
    </row>
    <row r="928" spans="1:7" x14ac:dyDescent="0.25">
      <c r="A928" s="4"/>
      <c r="G928" s="3">
        <f t="shared" si="15"/>
        <v>0</v>
      </c>
    </row>
    <row r="929" spans="1:7" x14ac:dyDescent="0.25">
      <c r="A929" s="4"/>
      <c r="G929" s="3">
        <f t="shared" si="15"/>
        <v>0</v>
      </c>
    </row>
    <row r="930" spans="1:7" x14ac:dyDescent="0.25">
      <c r="A930" s="4"/>
      <c r="G930" s="3">
        <f t="shared" si="15"/>
        <v>0</v>
      </c>
    </row>
    <row r="931" spans="1:7" x14ac:dyDescent="0.25">
      <c r="A931" s="4"/>
      <c r="G931" s="3">
        <f t="shared" si="15"/>
        <v>0</v>
      </c>
    </row>
    <row r="932" spans="1:7" x14ac:dyDescent="0.25">
      <c r="A932" s="4"/>
      <c r="G932" s="3">
        <f t="shared" si="15"/>
        <v>0</v>
      </c>
    </row>
    <row r="933" spans="1:7" x14ac:dyDescent="0.25">
      <c r="A933" s="4"/>
      <c r="G933" s="3">
        <f t="shared" si="15"/>
        <v>0</v>
      </c>
    </row>
    <row r="934" spans="1:7" x14ac:dyDescent="0.25">
      <c r="A934" s="4"/>
      <c r="G934" s="3">
        <f t="shared" si="15"/>
        <v>0</v>
      </c>
    </row>
    <row r="935" spans="1:7" x14ac:dyDescent="0.25">
      <c r="A935" s="4"/>
      <c r="G935" s="3">
        <f t="shared" si="15"/>
        <v>0</v>
      </c>
    </row>
    <row r="936" spans="1:7" x14ac:dyDescent="0.25">
      <c r="A936" s="4"/>
      <c r="G936" s="3">
        <f t="shared" si="15"/>
        <v>0</v>
      </c>
    </row>
    <row r="937" spans="1:7" x14ac:dyDescent="0.25">
      <c r="A937" s="4"/>
      <c r="G937" s="3">
        <f t="shared" si="15"/>
        <v>0</v>
      </c>
    </row>
    <row r="938" spans="1:7" x14ac:dyDescent="0.25">
      <c r="A938" s="4"/>
      <c r="G938" s="3">
        <f t="shared" si="15"/>
        <v>0</v>
      </c>
    </row>
    <row r="939" spans="1:7" x14ac:dyDescent="0.25">
      <c r="A939" s="4"/>
      <c r="G939" s="3">
        <f t="shared" si="15"/>
        <v>0</v>
      </c>
    </row>
    <row r="940" spans="1:7" x14ac:dyDescent="0.25">
      <c r="A940" s="4"/>
      <c r="G940" s="3">
        <f t="shared" si="15"/>
        <v>0</v>
      </c>
    </row>
    <row r="941" spans="1:7" x14ac:dyDescent="0.25">
      <c r="A941" s="4"/>
      <c r="G941" s="3">
        <f t="shared" si="15"/>
        <v>0</v>
      </c>
    </row>
    <row r="942" spans="1:7" x14ac:dyDescent="0.25">
      <c r="A942" s="4"/>
      <c r="G942" s="3">
        <f t="shared" si="15"/>
        <v>0</v>
      </c>
    </row>
    <row r="943" spans="1:7" x14ac:dyDescent="0.25">
      <c r="A943" s="4"/>
      <c r="G943" s="3">
        <f t="shared" si="15"/>
        <v>0</v>
      </c>
    </row>
    <row r="944" spans="1:7" x14ac:dyDescent="0.25">
      <c r="A944" s="4"/>
      <c r="G944" s="3">
        <f t="shared" si="15"/>
        <v>0</v>
      </c>
    </row>
    <row r="945" spans="1:7" x14ac:dyDescent="0.25">
      <c r="A945" s="4"/>
      <c r="G945" s="3">
        <f t="shared" si="15"/>
        <v>0</v>
      </c>
    </row>
    <row r="946" spans="1:7" x14ac:dyDescent="0.25">
      <c r="A946" s="4"/>
      <c r="G946" s="3">
        <f t="shared" si="15"/>
        <v>0</v>
      </c>
    </row>
    <row r="947" spans="1:7" x14ac:dyDescent="0.25">
      <c r="A947" s="4"/>
      <c r="G947" s="3">
        <f t="shared" si="15"/>
        <v>0</v>
      </c>
    </row>
    <row r="948" spans="1:7" x14ac:dyDescent="0.25">
      <c r="A948" s="4"/>
      <c r="G948" s="3">
        <f t="shared" si="15"/>
        <v>0</v>
      </c>
    </row>
    <row r="949" spans="1:7" x14ac:dyDescent="0.25">
      <c r="A949" s="4"/>
      <c r="G949" s="3">
        <f t="shared" si="15"/>
        <v>0</v>
      </c>
    </row>
    <row r="950" spans="1:7" x14ac:dyDescent="0.25">
      <c r="A950" s="4"/>
      <c r="G950" s="3">
        <f t="shared" si="15"/>
        <v>0</v>
      </c>
    </row>
    <row r="951" spans="1:7" x14ac:dyDescent="0.25">
      <c r="A951" s="4"/>
      <c r="G951" s="3">
        <f t="shared" si="15"/>
        <v>0</v>
      </c>
    </row>
    <row r="952" spans="1:7" x14ac:dyDescent="0.25">
      <c r="A952" s="4"/>
      <c r="G952" s="3">
        <f t="shared" si="15"/>
        <v>0</v>
      </c>
    </row>
    <row r="953" spans="1:7" x14ac:dyDescent="0.25">
      <c r="A953" s="4"/>
      <c r="G953" s="3">
        <f t="shared" si="15"/>
        <v>0</v>
      </c>
    </row>
    <row r="954" spans="1:7" x14ac:dyDescent="0.25">
      <c r="A954" s="4"/>
      <c r="G954" s="3">
        <f t="shared" si="15"/>
        <v>0</v>
      </c>
    </row>
    <row r="955" spans="1:7" x14ac:dyDescent="0.25">
      <c r="A955" s="4"/>
      <c r="G955" s="3">
        <f t="shared" si="15"/>
        <v>0</v>
      </c>
    </row>
    <row r="956" spans="1:7" x14ac:dyDescent="0.25">
      <c r="A956" s="4"/>
      <c r="G956" s="3">
        <f t="shared" si="15"/>
        <v>0</v>
      </c>
    </row>
    <row r="957" spans="1:7" x14ac:dyDescent="0.25">
      <c r="A957" s="4"/>
      <c r="G957" s="3">
        <f t="shared" si="15"/>
        <v>0</v>
      </c>
    </row>
    <row r="958" spans="1:7" x14ac:dyDescent="0.25">
      <c r="A958" s="4"/>
      <c r="G958" s="3">
        <f t="shared" si="15"/>
        <v>0</v>
      </c>
    </row>
    <row r="959" spans="1:7" x14ac:dyDescent="0.25">
      <c r="A959" s="4"/>
      <c r="G959" s="3">
        <f t="shared" si="15"/>
        <v>0</v>
      </c>
    </row>
    <row r="960" spans="1:7" x14ac:dyDescent="0.25">
      <c r="A960" s="4"/>
      <c r="G960" s="3">
        <f t="shared" si="15"/>
        <v>0</v>
      </c>
    </row>
    <row r="961" spans="1:7" x14ac:dyDescent="0.25">
      <c r="A961" s="4"/>
      <c r="G961" s="3">
        <f t="shared" si="15"/>
        <v>0</v>
      </c>
    </row>
    <row r="962" spans="1:7" x14ac:dyDescent="0.25">
      <c r="A962" s="4"/>
      <c r="G962" s="3">
        <f t="shared" si="15"/>
        <v>0</v>
      </c>
    </row>
    <row r="963" spans="1:7" x14ac:dyDescent="0.25">
      <c r="A963" s="4"/>
      <c r="G963" s="3">
        <f t="shared" ref="G963:G1003" si="16">D963+E963-F963</f>
        <v>0</v>
      </c>
    </row>
    <row r="964" spans="1:7" x14ac:dyDescent="0.25">
      <c r="A964" s="4"/>
      <c r="G964" s="3">
        <f t="shared" si="16"/>
        <v>0</v>
      </c>
    </row>
    <row r="965" spans="1:7" x14ac:dyDescent="0.25">
      <c r="A965" s="4"/>
      <c r="G965" s="3">
        <f t="shared" si="16"/>
        <v>0</v>
      </c>
    </row>
    <row r="966" spans="1:7" x14ac:dyDescent="0.25">
      <c r="A966" s="4"/>
      <c r="G966" s="3">
        <f t="shared" si="16"/>
        <v>0</v>
      </c>
    </row>
    <row r="967" spans="1:7" x14ac:dyDescent="0.25">
      <c r="A967" s="4"/>
      <c r="G967" s="3">
        <f t="shared" si="16"/>
        <v>0</v>
      </c>
    </row>
    <row r="968" spans="1:7" x14ac:dyDescent="0.25">
      <c r="A968" s="4"/>
      <c r="G968" s="3">
        <f t="shared" si="16"/>
        <v>0</v>
      </c>
    </row>
    <row r="969" spans="1:7" x14ac:dyDescent="0.25">
      <c r="A969" s="4"/>
      <c r="G969" s="3">
        <f t="shared" si="16"/>
        <v>0</v>
      </c>
    </row>
    <row r="970" spans="1:7" x14ac:dyDescent="0.25">
      <c r="A970" s="4"/>
      <c r="G970" s="3">
        <f t="shared" si="16"/>
        <v>0</v>
      </c>
    </row>
    <row r="971" spans="1:7" x14ac:dyDescent="0.25">
      <c r="A971" s="4"/>
      <c r="G971" s="3">
        <f t="shared" si="16"/>
        <v>0</v>
      </c>
    </row>
    <row r="972" spans="1:7" x14ac:dyDescent="0.25">
      <c r="A972" s="4"/>
      <c r="G972" s="3">
        <f t="shared" si="16"/>
        <v>0</v>
      </c>
    </row>
    <row r="973" spans="1:7" x14ac:dyDescent="0.25">
      <c r="A973" s="4"/>
      <c r="G973" s="3">
        <f t="shared" si="16"/>
        <v>0</v>
      </c>
    </row>
    <row r="974" spans="1:7" x14ac:dyDescent="0.25">
      <c r="A974" s="4"/>
      <c r="G974" s="3">
        <f t="shared" si="16"/>
        <v>0</v>
      </c>
    </row>
    <row r="975" spans="1:7" x14ac:dyDescent="0.25">
      <c r="A975" s="4"/>
      <c r="G975" s="3">
        <f t="shared" si="16"/>
        <v>0</v>
      </c>
    </row>
    <row r="976" spans="1:7" x14ac:dyDescent="0.25">
      <c r="A976" s="4"/>
      <c r="G976" s="3">
        <f t="shared" si="16"/>
        <v>0</v>
      </c>
    </row>
    <row r="977" spans="1:7" x14ac:dyDescent="0.25">
      <c r="A977" s="4"/>
      <c r="G977" s="3">
        <f t="shared" si="16"/>
        <v>0</v>
      </c>
    </row>
    <row r="978" spans="1:7" x14ac:dyDescent="0.25">
      <c r="A978" s="4"/>
      <c r="G978" s="3">
        <f t="shared" si="16"/>
        <v>0</v>
      </c>
    </row>
    <row r="979" spans="1:7" x14ac:dyDescent="0.25">
      <c r="A979" s="4"/>
      <c r="G979" s="3">
        <f t="shared" si="16"/>
        <v>0</v>
      </c>
    </row>
    <row r="980" spans="1:7" x14ac:dyDescent="0.25">
      <c r="A980" s="4"/>
      <c r="G980" s="3">
        <f t="shared" si="16"/>
        <v>0</v>
      </c>
    </row>
    <row r="981" spans="1:7" x14ac:dyDescent="0.25">
      <c r="A981" s="4"/>
      <c r="G981" s="3">
        <f t="shared" si="16"/>
        <v>0</v>
      </c>
    </row>
    <row r="982" spans="1:7" x14ac:dyDescent="0.25">
      <c r="A982" s="4"/>
      <c r="G982" s="3">
        <f t="shared" si="16"/>
        <v>0</v>
      </c>
    </row>
    <row r="983" spans="1:7" x14ac:dyDescent="0.25">
      <c r="A983" s="4"/>
      <c r="G983" s="3">
        <f t="shared" si="16"/>
        <v>0</v>
      </c>
    </row>
    <row r="984" spans="1:7" x14ac:dyDescent="0.25">
      <c r="A984" s="4"/>
      <c r="G984" s="3">
        <f t="shared" si="16"/>
        <v>0</v>
      </c>
    </row>
    <row r="985" spans="1:7" x14ac:dyDescent="0.25">
      <c r="A985" s="4"/>
      <c r="G985" s="3">
        <f t="shared" si="16"/>
        <v>0</v>
      </c>
    </row>
    <row r="986" spans="1:7" x14ac:dyDescent="0.25">
      <c r="A986" s="4"/>
      <c r="G986" s="3">
        <f t="shared" si="16"/>
        <v>0</v>
      </c>
    </row>
    <row r="987" spans="1:7" x14ac:dyDescent="0.25">
      <c r="A987" s="4"/>
      <c r="G987" s="3">
        <f t="shared" si="16"/>
        <v>0</v>
      </c>
    </row>
    <row r="988" spans="1:7" x14ac:dyDescent="0.25">
      <c r="A988" s="4"/>
      <c r="G988" s="3">
        <f t="shared" si="16"/>
        <v>0</v>
      </c>
    </row>
    <row r="989" spans="1:7" x14ac:dyDescent="0.25">
      <c r="A989" s="4"/>
      <c r="G989" s="3">
        <f t="shared" si="16"/>
        <v>0</v>
      </c>
    </row>
    <row r="990" spans="1:7" x14ac:dyDescent="0.25">
      <c r="A990" s="4"/>
      <c r="G990" s="3">
        <f t="shared" si="16"/>
        <v>0</v>
      </c>
    </row>
    <row r="991" spans="1:7" x14ac:dyDescent="0.25">
      <c r="A991" s="4"/>
      <c r="G991" s="3">
        <f t="shared" si="16"/>
        <v>0</v>
      </c>
    </row>
    <row r="992" spans="1:7" x14ac:dyDescent="0.25">
      <c r="A992" s="4"/>
      <c r="G992" s="3">
        <f t="shared" si="16"/>
        <v>0</v>
      </c>
    </row>
    <row r="993" spans="1:7" x14ac:dyDescent="0.25">
      <c r="A993" s="4"/>
      <c r="G993" s="3">
        <f t="shared" si="16"/>
        <v>0</v>
      </c>
    </row>
    <row r="994" spans="1:7" x14ac:dyDescent="0.25">
      <c r="A994" s="4"/>
      <c r="G994" s="3">
        <f t="shared" si="16"/>
        <v>0</v>
      </c>
    </row>
    <row r="995" spans="1:7" x14ac:dyDescent="0.25">
      <c r="A995" s="4"/>
      <c r="G995" s="3">
        <f t="shared" si="16"/>
        <v>0</v>
      </c>
    </row>
    <row r="996" spans="1:7" x14ac:dyDescent="0.25">
      <c r="A996" s="4"/>
      <c r="G996" s="3">
        <f t="shared" si="16"/>
        <v>0</v>
      </c>
    </row>
    <row r="997" spans="1:7" x14ac:dyDescent="0.25">
      <c r="A997" s="4"/>
      <c r="G997" s="3">
        <f t="shared" si="16"/>
        <v>0</v>
      </c>
    </row>
    <row r="998" spans="1:7" x14ac:dyDescent="0.25">
      <c r="A998" s="4"/>
      <c r="G998" s="3">
        <f t="shared" si="16"/>
        <v>0</v>
      </c>
    </row>
    <row r="999" spans="1:7" x14ac:dyDescent="0.25">
      <c r="A999" s="4"/>
      <c r="G999" s="3">
        <f t="shared" si="16"/>
        <v>0</v>
      </c>
    </row>
    <row r="1000" spans="1:7" x14ac:dyDescent="0.25">
      <c r="A1000" s="4"/>
      <c r="G1000" s="3">
        <f t="shared" si="16"/>
        <v>0</v>
      </c>
    </row>
    <row r="1001" spans="1:7" x14ac:dyDescent="0.25">
      <c r="A1001" s="4"/>
      <c r="G1001" s="3">
        <f t="shared" si="16"/>
        <v>0</v>
      </c>
    </row>
    <row r="1002" spans="1:7" x14ac:dyDescent="0.25">
      <c r="A1002" s="4"/>
      <c r="G1002" s="3">
        <f t="shared" si="16"/>
        <v>0</v>
      </c>
    </row>
    <row r="1003" spans="1:7" x14ac:dyDescent="0.25">
      <c r="A1003" s="4"/>
      <c r="G1003" s="3">
        <f t="shared" si="16"/>
        <v>0</v>
      </c>
    </row>
    <row r="1004" spans="1:7" x14ac:dyDescent="0.25">
      <c r="A1004" s="4"/>
      <c r="G1004" s="3">
        <f t="shared" ref="G1004:G1067" si="17">D1004+E1004-F1004</f>
        <v>0</v>
      </c>
    </row>
    <row r="1005" spans="1:7" x14ac:dyDescent="0.25">
      <c r="A1005" s="4"/>
      <c r="G1005" s="3">
        <f t="shared" si="17"/>
        <v>0</v>
      </c>
    </row>
    <row r="1006" spans="1:7" x14ac:dyDescent="0.25">
      <c r="A1006" s="4"/>
      <c r="G1006" s="3">
        <f t="shared" si="17"/>
        <v>0</v>
      </c>
    </row>
    <row r="1007" spans="1:7" x14ac:dyDescent="0.25">
      <c r="A1007" s="4"/>
      <c r="G1007" s="3">
        <f t="shared" si="17"/>
        <v>0</v>
      </c>
    </row>
    <row r="1008" spans="1:7" x14ac:dyDescent="0.25">
      <c r="A1008" s="4"/>
      <c r="G1008" s="3">
        <f t="shared" si="17"/>
        <v>0</v>
      </c>
    </row>
    <row r="1009" spans="1:7" x14ac:dyDescent="0.25">
      <c r="A1009" s="4"/>
      <c r="G1009" s="3">
        <f t="shared" si="17"/>
        <v>0</v>
      </c>
    </row>
    <row r="1010" spans="1:7" x14ac:dyDescent="0.25">
      <c r="A1010" s="4"/>
      <c r="G1010" s="3">
        <f t="shared" si="17"/>
        <v>0</v>
      </c>
    </row>
    <row r="1011" spans="1:7" x14ac:dyDescent="0.25">
      <c r="A1011" s="4"/>
      <c r="G1011" s="3">
        <f t="shared" si="17"/>
        <v>0</v>
      </c>
    </row>
    <row r="1012" spans="1:7" x14ac:dyDescent="0.25">
      <c r="A1012" s="4"/>
      <c r="G1012" s="3">
        <f t="shared" si="17"/>
        <v>0</v>
      </c>
    </row>
    <row r="1013" spans="1:7" x14ac:dyDescent="0.25">
      <c r="A1013" s="4"/>
      <c r="G1013" s="3">
        <f t="shared" si="17"/>
        <v>0</v>
      </c>
    </row>
    <row r="1014" spans="1:7" x14ac:dyDescent="0.25">
      <c r="A1014" s="4"/>
      <c r="G1014" s="3">
        <f t="shared" si="17"/>
        <v>0</v>
      </c>
    </row>
    <row r="1015" spans="1:7" x14ac:dyDescent="0.25">
      <c r="A1015" s="4"/>
      <c r="G1015" s="3">
        <f t="shared" si="17"/>
        <v>0</v>
      </c>
    </row>
    <row r="1016" spans="1:7" x14ac:dyDescent="0.25">
      <c r="A1016" s="4"/>
      <c r="G1016" s="3">
        <f t="shared" si="17"/>
        <v>0</v>
      </c>
    </row>
    <row r="1017" spans="1:7" x14ac:dyDescent="0.25">
      <c r="A1017" s="4"/>
      <c r="G1017" s="3">
        <f t="shared" si="17"/>
        <v>0</v>
      </c>
    </row>
    <row r="1018" spans="1:7" x14ac:dyDescent="0.25">
      <c r="A1018" s="4"/>
      <c r="G1018" s="3">
        <f t="shared" si="17"/>
        <v>0</v>
      </c>
    </row>
    <row r="1019" spans="1:7" x14ac:dyDescent="0.25">
      <c r="A1019" s="4"/>
      <c r="G1019" s="3">
        <f t="shared" si="17"/>
        <v>0</v>
      </c>
    </row>
    <row r="1020" spans="1:7" x14ac:dyDescent="0.25">
      <c r="A1020" s="4"/>
      <c r="G1020" s="3">
        <f t="shared" si="17"/>
        <v>0</v>
      </c>
    </row>
    <row r="1021" spans="1:7" x14ac:dyDescent="0.25">
      <c r="A1021" s="4"/>
      <c r="G1021" s="3">
        <f t="shared" si="17"/>
        <v>0</v>
      </c>
    </row>
    <row r="1022" spans="1:7" x14ac:dyDescent="0.25">
      <c r="A1022" s="4"/>
      <c r="G1022" s="3">
        <f t="shared" si="17"/>
        <v>0</v>
      </c>
    </row>
    <row r="1023" spans="1:7" x14ac:dyDescent="0.25">
      <c r="A1023" s="4"/>
      <c r="G1023" s="3">
        <f t="shared" si="17"/>
        <v>0</v>
      </c>
    </row>
    <row r="1024" spans="1:7" x14ac:dyDescent="0.25">
      <c r="A1024" s="4"/>
      <c r="G1024" s="3">
        <f t="shared" si="17"/>
        <v>0</v>
      </c>
    </row>
    <row r="1025" spans="1:7" x14ac:dyDescent="0.25">
      <c r="A1025" s="4"/>
      <c r="G1025" s="3">
        <f t="shared" si="17"/>
        <v>0</v>
      </c>
    </row>
    <row r="1026" spans="1:7" x14ac:dyDescent="0.25">
      <c r="A1026" s="4"/>
      <c r="G1026" s="3">
        <f t="shared" si="17"/>
        <v>0</v>
      </c>
    </row>
    <row r="1027" spans="1:7" x14ac:dyDescent="0.25">
      <c r="A1027" s="4"/>
      <c r="G1027" s="3">
        <f t="shared" si="17"/>
        <v>0</v>
      </c>
    </row>
    <row r="1028" spans="1:7" x14ac:dyDescent="0.25">
      <c r="A1028" s="4"/>
      <c r="G1028" s="3">
        <f t="shared" si="17"/>
        <v>0</v>
      </c>
    </row>
    <row r="1029" spans="1:7" x14ac:dyDescent="0.25">
      <c r="A1029" s="4"/>
      <c r="G1029" s="3">
        <f t="shared" si="17"/>
        <v>0</v>
      </c>
    </row>
    <row r="1030" spans="1:7" x14ac:dyDescent="0.25">
      <c r="A1030" s="4"/>
      <c r="G1030" s="3">
        <f t="shared" si="17"/>
        <v>0</v>
      </c>
    </row>
    <row r="1031" spans="1:7" x14ac:dyDescent="0.25">
      <c r="A1031" s="4"/>
      <c r="G1031" s="3">
        <f t="shared" si="17"/>
        <v>0</v>
      </c>
    </row>
    <row r="1032" spans="1:7" x14ac:dyDescent="0.25">
      <c r="A1032" s="4"/>
      <c r="G1032" s="3">
        <f t="shared" si="17"/>
        <v>0</v>
      </c>
    </row>
    <row r="1033" spans="1:7" x14ac:dyDescent="0.25">
      <c r="A1033" s="4"/>
      <c r="G1033" s="3">
        <f t="shared" si="17"/>
        <v>0</v>
      </c>
    </row>
    <row r="1034" spans="1:7" x14ac:dyDescent="0.25">
      <c r="A1034" s="4"/>
      <c r="G1034" s="3">
        <f t="shared" si="17"/>
        <v>0</v>
      </c>
    </row>
    <row r="1035" spans="1:7" x14ac:dyDescent="0.25">
      <c r="A1035" s="4"/>
      <c r="G1035" s="3">
        <f t="shared" si="17"/>
        <v>0</v>
      </c>
    </row>
    <row r="1036" spans="1:7" x14ac:dyDescent="0.25">
      <c r="A1036" s="4"/>
      <c r="G1036" s="3">
        <f t="shared" si="17"/>
        <v>0</v>
      </c>
    </row>
    <row r="1037" spans="1:7" x14ac:dyDescent="0.25">
      <c r="A1037" s="4"/>
      <c r="G1037" s="3">
        <f t="shared" si="17"/>
        <v>0</v>
      </c>
    </row>
    <row r="1038" spans="1:7" x14ac:dyDescent="0.25">
      <c r="A1038" s="4"/>
      <c r="G1038" s="3">
        <f t="shared" si="17"/>
        <v>0</v>
      </c>
    </row>
    <row r="1039" spans="1:7" x14ac:dyDescent="0.25">
      <c r="A1039" s="4"/>
      <c r="G1039" s="3">
        <f t="shared" si="17"/>
        <v>0</v>
      </c>
    </row>
    <row r="1040" spans="1:7" x14ac:dyDescent="0.25">
      <c r="A1040" s="4"/>
      <c r="G1040" s="3">
        <f t="shared" si="17"/>
        <v>0</v>
      </c>
    </row>
    <row r="1041" spans="1:7" x14ac:dyDescent="0.25">
      <c r="A1041" s="4"/>
      <c r="G1041" s="3">
        <f t="shared" si="17"/>
        <v>0</v>
      </c>
    </row>
    <row r="1042" spans="1:7" x14ac:dyDescent="0.25">
      <c r="A1042" s="4"/>
      <c r="G1042" s="3">
        <f t="shared" si="17"/>
        <v>0</v>
      </c>
    </row>
    <row r="1043" spans="1:7" x14ac:dyDescent="0.25">
      <c r="A1043" s="4"/>
      <c r="G1043" s="3">
        <f t="shared" si="17"/>
        <v>0</v>
      </c>
    </row>
    <row r="1044" spans="1:7" x14ac:dyDescent="0.25">
      <c r="A1044" s="4"/>
      <c r="G1044" s="3">
        <f t="shared" si="17"/>
        <v>0</v>
      </c>
    </row>
    <row r="1045" spans="1:7" x14ac:dyDescent="0.25">
      <c r="A1045" s="4"/>
      <c r="G1045" s="3">
        <f t="shared" si="17"/>
        <v>0</v>
      </c>
    </row>
    <row r="1046" spans="1:7" x14ac:dyDescent="0.25">
      <c r="A1046" s="4"/>
      <c r="G1046" s="3">
        <f t="shared" si="17"/>
        <v>0</v>
      </c>
    </row>
    <row r="1047" spans="1:7" x14ac:dyDescent="0.25">
      <c r="A1047" s="4"/>
      <c r="G1047" s="3">
        <f t="shared" si="17"/>
        <v>0</v>
      </c>
    </row>
    <row r="1048" spans="1:7" x14ac:dyDescent="0.25">
      <c r="A1048" s="4"/>
      <c r="G1048" s="3">
        <f t="shared" si="17"/>
        <v>0</v>
      </c>
    </row>
    <row r="1049" spans="1:7" x14ac:dyDescent="0.25">
      <c r="A1049" s="4"/>
      <c r="G1049" s="3">
        <f t="shared" si="17"/>
        <v>0</v>
      </c>
    </row>
    <row r="1050" spans="1:7" x14ac:dyDescent="0.25">
      <c r="A1050" s="4"/>
      <c r="G1050" s="3">
        <f t="shared" si="17"/>
        <v>0</v>
      </c>
    </row>
    <row r="1051" spans="1:7" x14ac:dyDescent="0.25">
      <c r="A1051" s="4"/>
      <c r="G1051" s="3">
        <f t="shared" si="17"/>
        <v>0</v>
      </c>
    </row>
    <row r="1052" spans="1:7" x14ac:dyDescent="0.25">
      <c r="A1052" s="4"/>
      <c r="G1052" s="3">
        <f t="shared" si="17"/>
        <v>0</v>
      </c>
    </row>
    <row r="1053" spans="1:7" x14ac:dyDescent="0.25">
      <c r="A1053" s="4"/>
      <c r="G1053" s="3">
        <f t="shared" si="17"/>
        <v>0</v>
      </c>
    </row>
    <row r="1054" spans="1:7" x14ac:dyDescent="0.25">
      <c r="A1054" s="4"/>
      <c r="G1054" s="3">
        <f t="shared" si="17"/>
        <v>0</v>
      </c>
    </row>
    <row r="1055" spans="1:7" x14ac:dyDescent="0.25">
      <c r="A1055" s="4"/>
      <c r="G1055" s="3">
        <f t="shared" si="17"/>
        <v>0</v>
      </c>
    </row>
    <row r="1056" spans="1:7" x14ac:dyDescent="0.25">
      <c r="A1056" s="4"/>
      <c r="G1056" s="3">
        <f t="shared" si="17"/>
        <v>0</v>
      </c>
    </row>
    <row r="1057" spans="1:7" x14ac:dyDescent="0.25">
      <c r="A1057" s="4"/>
      <c r="G1057" s="3">
        <f t="shared" si="17"/>
        <v>0</v>
      </c>
    </row>
    <row r="1058" spans="1:7" x14ac:dyDescent="0.25">
      <c r="A1058" s="4"/>
      <c r="G1058" s="3">
        <f t="shared" si="17"/>
        <v>0</v>
      </c>
    </row>
    <row r="1059" spans="1:7" x14ac:dyDescent="0.25">
      <c r="A1059" s="4"/>
      <c r="G1059" s="3">
        <f t="shared" si="17"/>
        <v>0</v>
      </c>
    </row>
    <row r="1060" spans="1:7" x14ac:dyDescent="0.25">
      <c r="A1060" s="4"/>
      <c r="G1060" s="3">
        <f t="shared" si="17"/>
        <v>0</v>
      </c>
    </row>
    <row r="1061" spans="1:7" x14ac:dyDescent="0.25">
      <c r="A1061" s="4"/>
      <c r="G1061" s="3">
        <f t="shared" si="17"/>
        <v>0</v>
      </c>
    </row>
    <row r="1062" spans="1:7" x14ac:dyDescent="0.25">
      <c r="A1062" s="4"/>
      <c r="G1062" s="3">
        <f t="shared" si="17"/>
        <v>0</v>
      </c>
    </row>
    <row r="1063" spans="1:7" x14ac:dyDescent="0.25">
      <c r="A1063" s="4"/>
      <c r="G1063" s="3">
        <f t="shared" si="17"/>
        <v>0</v>
      </c>
    </row>
    <row r="1064" spans="1:7" x14ac:dyDescent="0.25">
      <c r="A1064" s="4"/>
      <c r="G1064" s="3">
        <f t="shared" si="17"/>
        <v>0</v>
      </c>
    </row>
    <row r="1065" spans="1:7" x14ac:dyDescent="0.25">
      <c r="A1065" s="4"/>
      <c r="G1065" s="3">
        <f t="shared" si="17"/>
        <v>0</v>
      </c>
    </row>
    <row r="1066" spans="1:7" x14ac:dyDescent="0.25">
      <c r="A1066" s="4"/>
      <c r="G1066" s="3">
        <f t="shared" si="17"/>
        <v>0</v>
      </c>
    </row>
    <row r="1067" spans="1:7" x14ac:dyDescent="0.25">
      <c r="A1067" s="4"/>
      <c r="G1067" s="3">
        <f t="shared" si="17"/>
        <v>0</v>
      </c>
    </row>
    <row r="1068" spans="1:7" x14ac:dyDescent="0.25">
      <c r="A1068" s="4"/>
      <c r="G1068" s="3">
        <f t="shared" ref="G1068:G1131" si="18">D1068+E1068-F1068</f>
        <v>0</v>
      </c>
    </row>
    <row r="1069" spans="1:7" x14ac:dyDescent="0.25">
      <c r="A1069" s="4"/>
      <c r="G1069" s="3">
        <f t="shared" si="18"/>
        <v>0</v>
      </c>
    </row>
    <row r="1070" spans="1:7" x14ac:dyDescent="0.25">
      <c r="A1070" s="4"/>
      <c r="G1070" s="3">
        <f t="shared" si="18"/>
        <v>0</v>
      </c>
    </row>
    <row r="1071" spans="1:7" x14ac:dyDescent="0.25">
      <c r="A1071" s="4"/>
      <c r="G1071" s="3">
        <f t="shared" si="18"/>
        <v>0</v>
      </c>
    </row>
    <row r="1072" spans="1:7" x14ac:dyDescent="0.25">
      <c r="A1072" s="4"/>
      <c r="G1072" s="3">
        <f t="shared" si="18"/>
        <v>0</v>
      </c>
    </row>
    <row r="1073" spans="1:7" x14ac:dyDescent="0.25">
      <c r="A1073" s="4"/>
      <c r="G1073" s="3">
        <f t="shared" si="18"/>
        <v>0</v>
      </c>
    </row>
    <row r="1074" spans="1:7" x14ac:dyDescent="0.25">
      <c r="A1074" s="4"/>
      <c r="G1074" s="3">
        <f t="shared" si="18"/>
        <v>0</v>
      </c>
    </row>
    <row r="1075" spans="1:7" x14ac:dyDescent="0.25">
      <c r="A1075" s="4"/>
      <c r="G1075" s="3">
        <f t="shared" si="18"/>
        <v>0</v>
      </c>
    </row>
    <row r="1076" spans="1:7" x14ac:dyDescent="0.25">
      <c r="A1076" s="4"/>
      <c r="G1076" s="3">
        <f t="shared" si="18"/>
        <v>0</v>
      </c>
    </row>
    <row r="1077" spans="1:7" x14ac:dyDescent="0.25">
      <c r="A1077" s="4"/>
      <c r="G1077" s="3">
        <f t="shared" si="18"/>
        <v>0</v>
      </c>
    </row>
    <row r="1078" spans="1:7" x14ac:dyDescent="0.25">
      <c r="A1078" s="4"/>
      <c r="G1078" s="3">
        <f t="shared" si="18"/>
        <v>0</v>
      </c>
    </row>
    <row r="1079" spans="1:7" x14ac:dyDescent="0.25">
      <c r="A1079" s="4"/>
      <c r="G1079" s="3">
        <f t="shared" si="18"/>
        <v>0</v>
      </c>
    </row>
    <row r="1080" spans="1:7" x14ac:dyDescent="0.25">
      <c r="A1080" s="4"/>
      <c r="G1080" s="3">
        <f t="shared" si="18"/>
        <v>0</v>
      </c>
    </row>
    <row r="1081" spans="1:7" x14ac:dyDescent="0.25">
      <c r="A1081" s="4"/>
      <c r="G1081" s="3">
        <f t="shared" si="18"/>
        <v>0</v>
      </c>
    </row>
    <row r="1082" spans="1:7" x14ac:dyDescent="0.25">
      <c r="A1082" s="4"/>
      <c r="G1082" s="3">
        <f t="shared" si="18"/>
        <v>0</v>
      </c>
    </row>
    <row r="1083" spans="1:7" x14ac:dyDescent="0.25">
      <c r="A1083" s="4"/>
      <c r="G1083" s="3">
        <f t="shared" si="18"/>
        <v>0</v>
      </c>
    </row>
    <row r="1084" spans="1:7" x14ac:dyDescent="0.25">
      <c r="A1084" s="4"/>
      <c r="G1084" s="3">
        <f t="shared" si="18"/>
        <v>0</v>
      </c>
    </row>
    <row r="1085" spans="1:7" x14ac:dyDescent="0.25">
      <c r="A1085" s="4"/>
      <c r="G1085" s="3">
        <f t="shared" si="18"/>
        <v>0</v>
      </c>
    </row>
    <row r="1086" spans="1:7" x14ac:dyDescent="0.25">
      <c r="A1086" s="4"/>
      <c r="G1086" s="3">
        <f t="shared" si="18"/>
        <v>0</v>
      </c>
    </row>
    <row r="1087" spans="1:7" x14ac:dyDescent="0.25">
      <c r="A1087" s="4"/>
      <c r="G1087" s="3">
        <f t="shared" si="18"/>
        <v>0</v>
      </c>
    </row>
    <row r="1088" spans="1:7" x14ac:dyDescent="0.25">
      <c r="A1088" s="4"/>
      <c r="G1088" s="3">
        <f t="shared" si="18"/>
        <v>0</v>
      </c>
    </row>
    <row r="1089" spans="1:7" x14ac:dyDescent="0.25">
      <c r="A1089" s="4"/>
      <c r="G1089" s="3">
        <f t="shared" si="18"/>
        <v>0</v>
      </c>
    </row>
    <row r="1090" spans="1:7" x14ac:dyDescent="0.25">
      <c r="A1090" s="4"/>
      <c r="G1090" s="3">
        <f t="shared" si="18"/>
        <v>0</v>
      </c>
    </row>
    <row r="1091" spans="1:7" x14ac:dyDescent="0.25">
      <c r="A1091" s="4"/>
      <c r="G1091" s="3">
        <f t="shared" si="18"/>
        <v>0</v>
      </c>
    </row>
    <row r="1092" spans="1:7" x14ac:dyDescent="0.25">
      <c r="A1092" s="4"/>
      <c r="G1092" s="3">
        <f t="shared" si="18"/>
        <v>0</v>
      </c>
    </row>
    <row r="1093" spans="1:7" x14ac:dyDescent="0.25">
      <c r="A1093" s="4"/>
      <c r="G1093" s="3">
        <f t="shared" si="18"/>
        <v>0</v>
      </c>
    </row>
    <row r="1094" spans="1:7" x14ac:dyDescent="0.25">
      <c r="A1094" s="4"/>
      <c r="G1094" s="3">
        <f t="shared" si="18"/>
        <v>0</v>
      </c>
    </row>
    <row r="1095" spans="1:7" x14ac:dyDescent="0.25">
      <c r="A1095" s="4"/>
      <c r="G1095" s="3">
        <f t="shared" si="18"/>
        <v>0</v>
      </c>
    </row>
    <row r="1096" spans="1:7" x14ac:dyDescent="0.25">
      <c r="A1096" s="4"/>
      <c r="G1096" s="3">
        <f t="shared" si="18"/>
        <v>0</v>
      </c>
    </row>
    <row r="1097" spans="1:7" x14ac:dyDescent="0.25">
      <c r="A1097" s="4"/>
      <c r="G1097" s="3">
        <f t="shared" si="18"/>
        <v>0</v>
      </c>
    </row>
    <row r="1098" spans="1:7" x14ac:dyDescent="0.25">
      <c r="A1098" s="4"/>
      <c r="G1098" s="3">
        <f t="shared" si="18"/>
        <v>0</v>
      </c>
    </row>
    <row r="1099" spans="1:7" x14ac:dyDescent="0.25">
      <c r="A1099" s="4"/>
      <c r="G1099" s="3">
        <f t="shared" si="18"/>
        <v>0</v>
      </c>
    </row>
    <row r="1100" spans="1:7" x14ac:dyDescent="0.25">
      <c r="A1100" s="4"/>
      <c r="G1100" s="3">
        <f t="shared" si="18"/>
        <v>0</v>
      </c>
    </row>
    <row r="1101" spans="1:7" x14ac:dyDescent="0.25">
      <c r="A1101" s="4"/>
      <c r="G1101" s="3">
        <f t="shared" si="18"/>
        <v>0</v>
      </c>
    </row>
    <row r="1102" spans="1:7" x14ac:dyDescent="0.25">
      <c r="A1102" s="4"/>
      <c r="G1102" s="3">
        <f t="shared" si="18"/>
        <v>0</v>
      </c>
    </row>
    <row r="1103" spans="1:7" x14ac:dyDescent="0.25">
      <c r="A1103" s="4"/>
      <c r="G1103" s="3">
        <f t="shared" si="18"/>
        <v>0</v>
      </c>
    </row>
    <row r="1104" spans="1:7" x14ac:dyDescent="0.25">
      <c r="A1104" s="4"/>
      <c r="G1104" s="3">
        <f t="shared" si="18"/>
        <v>0</v>
      </c>
    </row>
    <row r="1105" spans="1:7" x14ac:dyDescent="0.25">
      <c r="A1105" s="4"/>
      <c r="G1105" s="3">
        <f t="shared" si="18"/>
        <v>0</v>
      </c>
    </row>
    <row r="1106" spans="1:7" x14ac:dyDescent="0.25">
      <c r="A1106" s="4"/>
      <c r="G1106" s="3">
        <f t="shared" si="18"/>
        <v>0</v>
      </c>
    </row>
    <row r="1107" spans="1:7" x14ac:dyDescent="0.25">
      <c r="A1107" s="4"/>
      <c r="G1107" s="3">
        <f t="shared" si="18"/>
        <v>0</v>
      </c>
    </row>
    <row r="1108" spans="1:7" x14ac:dyDescent="0.25">
      <c r="A1108" s="4"/>
      <c r="G1108" s="3">
        <f t="shared" si="18"/>
        <v>0</v>
      </c>
    </row>
    <row r="1109" spans="1:7" x14ac:dyDescent="0.25">
      <c r="A1109" s="4"/>
      <c r="G1109" s="3">
        <f t="shared" si="18"/>
        <v>0</v>
      </c>
    </row>
    <row r="1110" spans="1:7" x14ac:dyDescent="0.25">
      <c r="A1110" s="4"/>
      <c r="G1110" s="3">
        <f t="shared" si="18"/>
        <v>0</v>
      </c>
    </row>
    <row r="1111" spans="1:7" x14ac:dyDescent="0.25">
      <c r="A1111" s="4"/>
      <c r="G1111" s="3">
        <f t="shared" si="18"/>
        <v>0</v>
      </c>
    </row>
    <row r="1112" spans="1:7" x14ac:dyDescent="0.25">
      <c r="A1112" s="4"/>
      <c r="G1112" s="3">
        <f t="shared" si="18"/>
        <v>0</v>
      </c>
    </row>
    <row r="1113" spans="1:7" x14ac:dyDescent="0.25">
      <c r="A1113" s="4"/>
      <c r="G1113" s="3">
        <f t="shared" si="18"/>
        <v>0</v>
      </c>
    </row>
    <row r="1114" spans="1:7" x14ac:dyDescent="0.25">
      <c r="A1114" s="4"/>
      <c r="G1114" s="3">
        <f t="shared" si="18"/>
        <v>0</v>
      </c>
    </row>
    <row r="1115" spans="1:7" x14ac:dyDescent="0.25">
      <c r="A1115" s="4"/>
      <c r="G1115" s="3">
        <f t="shared" si="18"/>
        <v>0</v>
      </c>
    </row>
    <row r="1116" spans="1:7" x14ac:dyDescent="0.25">
      <c r="A1116" s="4"/>
      <c r="G1116" s="3">
        <f t="shared" si="18"/>
        <v>0</v>
      </c>
    </row>
    <row r="1117" spans="1:7" x14ac:dyDescent="0.25">
      <c r="A1117" s="4"/>
      <c r="G1117" s="3">
        <f t="shared" si="18"/>
        <v>0</v>
      </c>
    </row>
    <row r="1118" spans="1:7" x14ac:dyDescent="0.25">
      <c r="A1118" s="4"/>
      <c r="G1118" s="3">
        <f t="shared" si="18"/>
        <v>0</v>
      </c>
    </row>
    <row r="1119" spans="1:7" x14ac:dyDescent="0.25">
      <c r="A1119" s="4"/>
      <c r="G1119" s="3">
        <f t="shared" si="18"/>
        <v>0</v>
      </c>
    </row>
    <row r="1120" spans="1:7" x14ac:dyDescent="0.25">
      <c r="A1120" s="4"/>
      <c r="G1120" s="3">
        <f t="shared" si="18"/>
        <v>0</v>
      </c>
    </row>
    <row r="1121" spans="1:7" x14ac:dyDescent="0.25">
      <c r="A1121" s="4"/>
      <c r="G1121" s="3">
        <f t="shared" si="18"/>
        <v>0</v>
      </c>
    </row>
    <row r="1122" spans="1:7" x14ac:dyDescent="0.25">
      <c r="A1122" s="4"/>
      <c r="G1122" s="3">
        <f t="shared" si="18"/>
        <v>0</v>
      </c>
    </row>
    <row r="1123" spans="1:7" x14ac:dyDescent="0.25">
      <c r="A1123" s="4"/>
      <c r="G1123" s="3">
        <f t="shared" si="18"/>
        <v>0</v>
      </c>
    </row>
    <row r="1124" spans="1:7" x14ac:dyDescent="0.25">
      <c r="A1124" s="4"/>
      <c r="G1124" s="3">
        <f t="shared" si="18"/>
        <v>0</v>
      </c>
    </row>
    <row r="1125" spans="1:7" x14ac:dyDescent="0.25">
      <c r="A1125" s="4"/>
      <c r="G1125" s="3">
        <f t="shared" si="18"/>
        <v>0</v>
      </c>
    </row>
    <row r="1126" spans="1:7" x14ac:dyDescent="0.25">
      <c r="A1126" s="4"/>
      <c r="G1126" s="3">
        <f t="shared" si="18"/>
        <v>0</v>
      </c>
    </row>
    <row r="1127" spans="1:7" x14ac:dyDescent="0.25">
      <c r="A1127" s="4"/>
      <c r="G1127" s="3">
        <f t="shared" si="18"/>
        <v>0</v>
      </c>
    </row>
    <row r="1128" spans="1:7" x14ac:dyDescent="0.25">
      <c r="A1128" s="4"/>
      <c r="G1128" s="3">
        <f t="shared" si="18"/>
        <v>0</v>
      </c>
    </row>
    <row r="1129" spans="1:7" x14ac:dyDescent="0.25">
      <c r="A1129" s="4"/>
      <c r="G1129" s="3">
        <f t="shared" si="18"/>
        <v>0</v>
      </c>
    </row>
    <row r="1130" spans="1:7" x14ac:dyDescent="0.25">
      <c r="A1130" s="4"/>
      <c r="G1130" s="3">
        <f t="shared" si="18"/>
        <v>0</v>
      </c>
    </row>
    <row r="1131" spans="1:7" x14ac:dyDescent="0.25">
      <c r="A1131" s="4"/>
      <c r="G1131" s="3">
        <f t="shared" si="18"/>
        <v>0</v>
      </c>
    </row>
    <row r="1132" spans="1:7" x14ac:dyDescent="0.25">
      <c r="A1132" s="4"/>
      <c r="G1132" s="3">
        <f t="shared" ref="G1132:G1195" si="19">D1132+E1132-F1132</f>
        <v>0</v>
      </c>
    </row>
    <row r="1133" spans="1:7" x14ac:dyDescent="0.25">
      <c r="A1133" s="4"/>
      <c r="G1133" s="3">
        <f t="shared" si="19"/>
        <v>0</v>
      </c>
    </row>
    <row r="1134" spans="1:7" x14ac:dyDescent="0.25">
      <c r="A1134" s="4"/>
      <c r="G1134" s="3">
        <f t="shared" si="19"/>
        <v>0</v>
      </c>
    </row>
    <row r="1135" spans="1:7" x14ac:dyDescent="0.25">
      <c r="A1135" s="4"/>
      <c r="G1135" s="3">
        <f t="shared" si="19"/>
        <v>0</v>
      </c>
    </row>
    <row r="1136" spans="1:7" x14ac:dyDescent="0.25">
      <c r="A1136" s="4"/>
      <c r="G1136" s="3">
        <f t="shared" si="19"/>
        <v>0</v>
      </c>
    </row>
    <row r="1137" spans="1:7" x14ac:dyDescent="0.25">
      <c r="A1137" s="4"/>
      <c r="G1137" s="3">
        <f t="shared" si="19"/>
        <v>0</v>
      </c>
    </row>
    <row r="1138" spans="1:7" x14ac:dyDescent="0.25">
      <c r="A1138" s="4"/>
      <c r="G1138" s="3">
        <f t="shared" si="19"/>
        <v>0</v>
      </c>
    </row>
    <row r="1139" spans="1:7" x14ac:dyDescent="0.25">
      <c r="A1139" s="4"/>
      <c r="G1139" s="3">
        <f t="shared" si="19"/>
        <v>0</v>
      </c>
    </row>
    <row r="1140" spans="1:7" x14ac:dyDescent="0.25">
      <c r="A1140" s="4"/>
      <c r="G1140" s="3">
        <f t="shared" si="19"/>
        <v>0</v>
      </c>
    </row>
    <row r="1141" spans="1:7" x14ac:dyDescent="0.25">
      <c r="A1141" s="4"/>
      <c r="G1141" s="3">
        <f t="shared" si="19"/>
        <v>0</v>
      </c>
    </row>
    <row r="1142" spans="1:7" x14ac:dyDescent="0.25">
      <c r="A1142" s="4"/>
      <c r="G1142" s="3">
        <f t="shared" si="19"/>
        <v>0</v>
      </c>
    </row>
    <row r="1143" spans="1:7" x14ac:dyDescent="0.25">
      <c r="A1143" s="4"/>
      <c r="G1143" s="3">
        <f t="shared" si="19"/>
        <v>0</v>
      </c>
    </row>
    <row r="1144" spans="1:7" x14ac:dyDescent="0.25">
      <c r="A1144" s="4"/>
      <c r="G1144" s="3">
        <f t="shared" si="19"/>
        <v>0</v>
      </c>
    </row>
    <row r="1145" spans="1:7" x14ac:dyDescent="0.25">
      <c r="A1145" s="4"/>
      <c r="G1145" s="3">
        <f t="shared" si="19"/>
        <v>0</v>
      </c>
    </row>
    <row r="1146" spans="1:7" x14ac:dyDescent="0.25">
      <c r="A1146" s="4"/>
      <c r="G1146" s="3">
        <f t="shared" si="19"/>
        <v>0</v>
      </c>
    </row>
    <row r="1147" spans="1:7" x14ac:dyDescent="0.25">
      <c r="A1147" s="4"/>
      <c r="G1147" s="3">
        <f t="shared" si="19"/>
        <v>0</v>
      </c>
    </row>
    <row r="1148" spans="1:7" x14ac:dyDescent="0.25">
      <c r="A1148" s="4"/>
      <c r="G1148" s="3">
        <f t="shared" si="19"/>
        <v>0</v>
      </c>
    </row>
    <row r="1149" spans="1:7" x14ac:dyDescent="0.25">
      <c r="A1149" s="4"/>
      <c r="G1149" s="3">
        <f t="shared" si="19"/>
        <v>0</v>
      </c>
    </row>
    <row r="1150" spans="1:7" x14ac:dyDescent="0.25">
      <c r="A1150" s="4"/>
      <c r="G1150" s="3">
        <f t="shared" si="19"/>
        <v>0</v>
      </c>
    </row>
    <row r="1151" spans="1:7" x14ac:dyDescent="0.25">
      <c r="A1151" s="4"/>
      <c r="G1151" s="3">
        <f t="shared" si="19"/>
        <v>0</v>
      </c>
    </row>
    <row r="1152" spans="1:7" x14ac:dyDescent="0.25">
      <c r="A1152" s="4"/>
      <c r="G1152" s="3">
        <f t="shared" si="19"/>
        <v>0</v>
      </c>
    </row>
    <row r="1153" spans="1:7" x14ac:dyDescent="0.25">
      <c r="A1153" s="4"/>
      <c r="G1153" s="3">
        <f t="shared" si="19"/>
        <v>0</v>
      </c>
    </row>
    <row r="1154" spans="1:7" x14ac:dyDescent="0.25">
      <c r="A1154" s="4"/>
      <c r="G1154" s="3">
        <f t="shared" si="19"/>
        <v>0</v>
      </c>
    </row>
    <row r="1155" spans="1:7" x14ac:dyDescent="0.25">
      <c r="A1155" s="4"/>
      <c r="G1155" s="3">
        <f t="shared" si="19"/>
        <v>0</v>
      </c>
    </row>
    <row r="1156" spans="1:7" x14ac:dyDescent="0.25">
      <c r="A1156" s="4"/>
      <c r="G1156" s="3">
        <f t="shared" si="19"/>
        <v>0</v>
      </c>
    </row>
    <row r="1157" spans="1:7" x14ac:dyDescent="0.25">
      <c r="A1157" s="4"/>
      <c r="G1157" s="3">
        <f t="shared" si="19"/>
        <v>0</v>
      </c>
    </row>
    <row r="1158" spans="1:7" x14ac:dyDescent="0.25">
      <c r="A1158" s="4"/>
      <c r="G1158" s="3">
        <f t="shared" si="19"/>
        <v>0</v>
      </c>
    </row>
    <row r="1159" spans="1:7" x14ac:dyDescent="0.25">
      <c r="A1159" s="4"/>
      <c r="G1159" s="3">
        <f t="shared" si="19"/>
        <v>0</v>
      </c>
    </row>
    <row r="1160" spans="1:7" x14ac:dyDescent="0.25">
      <c r="A1160" s="4"/>
      <c r="G1160" s="3">
        <f t="shared" si="19"/>
        <v>0</v>
      </c>
    </row>
    <row r="1161" spans="1:7" x14ac:dyDescent="0.25">
      <c r="A1161" s="4"/>
      <c r="G1161" s="3">
        <f t="shared" si="19"/>
        <v>0</v>
      </c>
    </row>
    <row r="1162" spans="1:7" x14ac:dyDescent="0.25">
      <c r="A1162" s="4"/>
      <c r="G1162" s="3">
        <f t="shared" si="19"/>
        <v>0</v>
      </c>
    </row>
    <row r="1163" spans="1:7" x14ac:dyDescent="0.25">
      <c r="A1163" s="4"/>
      <c r="G1163" s="3">
        <f t="shared" si="19"/>
        <v>0</v>
      </c>
    </row>
    <row r="1164" spans="1:7" x14ac:dyDescent="0.25">
      <c r="A1164" s="4"/>
      <c r="G1164" s="3">
        <f t="shared" si="19"/>
        <v>0</v>
      </c>
    </row>
    <row r="1165" spans="1:7" x14ac:dyDescent="0.25">
      <c r="A1165" s="4"/>
      <c r="G1165" s="3">
        <f t="shared" si="19"/>
        <v>0</v>
      </c>
    </row>
    <row r="1166" spans="1:7" x14ac:dyDescent="0.25">
      <c r="A1166" s="4"/>
      <c r="G1166" s="3">
        <f t="shared" si="19"/>
        <v>0</v>
      </c>
    </row>
    <row r="1167" spans="1:7" x14ac:dyDescent="0.25">
      <c r="A1167" s="4"/>
      <c r="G1167" s="3">
        <f t="shared" si="19"/>
        <v>0</v>
      </c>
    </row>
    <row r="1168" spans="1:7" x14ac:dyDescent="0.25">
      <c r="A1168" s="4"/>
      <c r="G1168" s="3">
        <f t="shared" si="19"/>
        <v>0</v>
      </c>
    </row>
    <row r="1169" spans="1:7" x14ac:dyDescent="0.25">
      <c r="A1169" s="4"/>
      <c r="G1169" s="3">
        <f t="shared" si="19"/>
        <v>0</v>
      </c>
    </row>
    <row r="1170" spans="1:7" x14ac:dyDescent="0.25">
      <c r="A1170" s="4"/>
      <c r="G1170" s="3">
        <f t="shared" si="19"/>
        <v>0</v>
      </c>
    </row>
    <row r="1171" spans="1:7" x14ac:dyDescent="0.25">
      <c r="A1171" s="4"/>
      <c r="G1171" s="3">
        <f t="shared" si="19"/>
        <v>0</v>
      </c>
    </row>
    <row r="1172" spans="1:7" x14ac:dyDescent="0.25">
      <c r="A1172" s="4"/>
      <c r="G1172" s="3">
        <f t="shared" si="19"/>
        <v>0</v>
      </c>
    </row>
    <row r="1173" spans="1:7" x14ac:dyDescent="0.25">
      <c r="A1173" s="4"/>
      <c r="G1173" s="3">
        <f t="shared" si="19"/>
        <v>0</v>
      </c>
    </row>
    <row r="1174" spans="1:7" x14ac:dyDescent="0.25">
      <c r="A1174" s="4"/>
      <c r="G1174" s="3">
        <f t="shared" si="19"/>
        <v>0</v>
      </c>
    </row>
    <row r="1175" spans="1:7" x14ac:dyDescent="0.25">
      <c r="A1175" s="4"/>
      <c r="G1175" s="3">
        <f t="shared" si="19"/>
        <v>0</v>
      </c>
    </row>
    <row r="1176" spans="1:7" x14ac:dyDescent="0.25">
      <c r="A1176" s="4"/>
      <c r="G1176" s="3">
        <f t="shared" si="19"/>
        <v>0</v>
      </c>
    </row>
    <row r="1177" spans="1:7" x14ac:dyDescent="0.25">
      <c r="A1177" s="4"/>
      <c r="G1177" s="3">
        <f t="shared" si="19"/>
        <v>0</v>
      </c>
    </row>
    <row r="1178" spans="1:7" x14ac:dyDescent="0.25">
      <c r="A1178" s="4"/>
      <c r="G1178" s="3">
        <f t="shared" si="19"/>
        <v>0</v>
      </c>
    </row>
    <row r="1179" spans="1:7" x14ac:dyDescent="0.25">
      <c r="A1179" s="4"/>
      <c r="G1179" s="3">
        <f t="shared" si="19"/>
        <v>0</v>
      </c>
    </row>
    <row r="1180" spans="1:7" x14ac:dyDescent="0.25">
      <c r="A1180" s="4"/>
      <c r="G1180" s="3">
        <f t="shared" si="19"/>
        <v>0</v>
      </c>
    </row>
    <row r="1181" spans="1:7" x14ac:dyDescent="0.25">
      <c r="A1181" s="4"/>
      <c r="G1181" s="3">
        <f t="shared" si="19"/>
        <v>0</v>
      </c>
    </row>
    <row r="1182" spans="1:7" x14ac:dyDescent="0.25">
      <c r="A1182" s="4"/>
      <c r="G1182" s="3">
        <f t="shared" si="19"/>
        <v>0</v>
      </c>
    </row>
    <row r="1183" spans="1:7" x14ac:dyDescent="0.25">
      <c r="A1183" s="4"/>
      <c r="G1183" s="3">
        <f t="shared" si="19"/>
        <v>0</v>
      </c>
    </row>
    <row r="1184" spans="1:7" x14ac:dyDescent="0.25">
      <c r="A1184" s="4"/>
      <c r="G1184" s="3">
        <f t="shared" si="19"/>
        <v>0</v>
      </c>
    </row>
    <row r="1185" spans="1:7" x14ac:dyDescent="0.25">
      <c r="A1185" s="4"/>
      <c r="G1185" s="3">
        <f t="shared" si="19"/>
        <v>0</v>
      </c>
    </row>
    <row r="1186" spans="1:7" x14ac:dyDescent="0.25">
      <c r="A1186" s="4"/>
      <c r="G1186" s="3">
        <f t="shared" si="19"/>
        <v>0</v>
      </c>
    </row>
    <row r="1187" spans="1:7" x14ac:dyDescent="0.25">
      <c r="A1187" s="4"/>
      <c r="G1187" s="3">
        <f t="shared" si="19"/>
        <v>0</v>
      </c>
    </row>
    <row r="1188" spans="1:7" x14ac:dyDescent="0.25">
      <c r="A1188" s="4"/>
      <c r="G1188" s="3">
        <f t="shared" si="19"/>
        <v>0</v>
      </c>
    </row>
    <row r="1189" spans="1:7" x14ac:dyDescent="0.25">
      <c r="A1189" s="4"/>
      <c r="G1189" s="3">
        <f t="shared" si="19"/>
        <v>0</v>
      </c>
    </row>
    <row r="1190" spans="1:7" x14ac:dyDescent="0.25">
      <c r="A1190" s="4"/>
      <c r="G1190" s="3">
        <f t="shared" si="19"/>
        <v>0</v>
      </c>
    </row>
    <row r="1191" spans="1:7" x14ac:dyDescent="0.25">
      <c r="A1191" s="4"/>
      <c r="G1191" s="3">
        <f t="shared" si="19"/>
        <v>0</v>
      </c>
    </row>
    <row r="1192" spans="1:7" x14ac:dyDescent="0.25">
      <c r="A1192" s="4"/>
      <c r="G1192" s="3">
        <f t="shared" si="19"/>
        <v>0</v>
      </c>
    </row>
    <row r="1193" spans="1:7" x14ac:dyDescent="0.25">
      <c r="A1193" s="4"/>
      <c r="G1193" s="3">
        <f t="shared" si="19"/>
        <v>0</v>
      </c>
    </row>
    <row r="1194" spans="1:7" x14ac:dyDescent="0.25">
      <c r="A1194" s="4"/>
      <c r="G1194" s="3">
        <f t="shared" si="19"/>
        <v>0</v>
      </c>
    </row>
    <row r="1195" spans="1:7" x14ac:dyDescent="0.25">
      <c r="A1195" s="4"/>
      <c r="G1195" s="3">
        <f t="shared" si="19"/>
        <v>0</v>
      </c>
    </row>
    <row r="1196" spans="1:7" x14ac:dyDescent="0.25">
      <c r="A1196" s="4"/>
      <c r="G1196" s="3">
        <f t="shared" ref="G1196:G1259" si="20">D1196+E1196-F1196</f>
        <v>0</v>
      </c>
    </row>
    <row r="1197" spans="1:7" x14ac:dyDescent="0.25">
      <c r="A1197" s="4"/>
      <c r="G1197" s="3">
        <f t="shared" si="20"/>
        <v>0</v>
      </c>
    </row>
    <row r="1198" spans="1:7" x14ac:dyDescent="0.25">
      <c r="A1198" s="4"/>
      <c r="G1198" s="3">
        <f t="shared" si="20"/>
        <v>0</v>
      </c>
    </row>
    <row r="1199" spans="1:7" x14ac:dyDescent="0.25">
      <c r="A1199" s="4"/>
      <c r="G1199" s="3">
        <f t="shared" si="20"/>
        <v>0</v>
      </c>
    </row>
    <row r="1200" spans="1:7" x14ac:dyDescent="0.25">
      <c r="A1200" s="4"/>
      <c r="G1200" s="3">
        <f t="shared" si="20"/>
        <v>0</v>
      </c>
    </row>
    <row r="1201" spans="1:7" x14ac:dyDescent="0.25">
      <c r="A1201" s="4"/>
      <c r="G1201" s="3">
        <f t="shared" si="20"/>
        <v>0</v>
      </c>
    </row>
    <row r="1202" spans="1:7" x14ac:dyDescent="0.25">
      <c r="A1202" s="4"/>
      <c r="G1202" s="3">
        <f t="shared" si="20"/>
        <v>0</v>
      </c>
    </row>
    <row r="1203" spans="1:7" x14ac:dyDescent="0.25">
      <c r="A1203" s="4"/>
      <c r="G1203" s="3">
        <f t="shared" si="20"/>
        <v>0</v>
      </c>
    </row>
    <row r="1204" spans="1:7" x14ac:dyDescent="0.25">
      <c r="A1204" s="4"/>
      <c r="G1204" s="3">
        <f t="shared" si="20"/>
        <v>0</v>
      </c>
    </row>
    <row r="1205" spans="1:7" x14ac:dyDescent="0.25">
      <c r="A1205" s="4"/>
      <c r="G1205" s="3">
        <f t="shared" si="20"/>
        <v>0</v>
      </c>
    </row>
    <row r="1206" spans="1:7" x14ac:dyDescent="0.25">
      <c r="A1206" s="4"/>
      <c r="G1206" s="3">
        <f t="shared" si="20"/>
        <v>0</v>
      </c>
    </row>
    <row r="1207" spans="1:7" x14ac:dyDescent="0.25">
      <c r="A1207" s="4"/>
      <c r="G1207" s="3">
        <f t="shared" si="20"/>
        <v>0</v>
      </c>
    </row>
    <row r="1208" spans="1:7" x14ac:dyDescent="0.25">
      <c r="A1208" s="4"/>
      <c r="G1208" s="3">
        <f t="shared" si="20"/>
        <v>0</v>
      </c>
    </row>
    <row r="1209" spans="1:7" x14ac:dyDescent="0.25">
      <c r="A1209" s="4"/>
      <c r="G1209" s="3">
        <f t="shared" si="20"/>
        <v>0</v>
      </c>
    </row>
    <row r="1210" spans="1:7" x14ac:dyDescent="0.25">
      <c r="A1210" s="4"/>
      <c r="G1210" s="3">
        <f t="shared" si="20"/>
        <v>0</v>
      </c>
    </row>
    <row r="1211" spans="1:7" x14ac:dyDescent="0.25">
      <c r="A1211" s="4"/>
      <c r="G1211" s="3">
        <f t="shared" si="20"/>
        <v>0</v>
      </c>
    </row>
    <row r="1212" spans="1:7" x14ac:dyDescent="0.25">
      <c r="A1212" s="4"/>
      <c r="G1212" s="3">
        <f t="shared" si="20"/>
        <v>0</v>
      </c>
    </row>
    <row r="1213" spans="1:7" x14ac:dyDescent="0.25">
      <c r="A1213" s="4"/>
      <c r="G1213" s="3">
        <f t="shared" si="20"/>
        <v>0</v>
      </c>
    </row>
    <row r="1214" spans="1:7" x14ac:dyDescent="0.25">
      <c r="A1214" s="4"/>
      <c r="G1214" s="3">
        <f t="shared" si="20"/>
        <v>0</v>
      </c>
    </row>
    <row r="1215" spans="1:7" x14ac:dyDescent="0.25">
      <c r="A1215" s="4"/>
      <c r="G1215" s="3">
        <f t="shared" si="20"/>
        <v>0</v>
      </c>
    </row>
    <row r="1216" spans="1:7" x14ac:dyDescent="0.25">
      <c r="A1216" s="4"/>
      <c r="G1216" s="3">
        <f t="shared" si="20"/>
        <v>0</v>
      </c>
    </row>
    <row r="1217" spans="1:7" x14ac:dyDescent="0.25">
      <c r="A1217" s="4"/>
      <c r="G1217" s="3">
        <f t="shared" si="20"/>
        <v>0</v>
      </c>
    </row>
    <row r="1218" spans="1:7" x14ac:dyDescent="0.25">
      <c r="A1218" s="4"/>
      <c r="G1218" s="3">
        <f t="shared" si="20"/>
        <v>0</v>
      </c>
    </row>
    <row r="1219" spans="1:7" x14ac:dyDescent="0.25">
      <c r="A1219" s="4"/>
      <c r="G1219" s="3">
        <f t="shared" si="20"/>
        <v>0</v>
      </c>
    </row>
    <row r="1220" spans="1:7" x14ac:dyDescent="0.25">
      <c r="A1220" s="4"/>
      <c r="G1220" s="3">
        <f t="shared" si="20"/>
        <v>0</v>
      </c>
    </row>
    <row r="1221" spans="1:7" x14ac:dyDescent="0.25">
      <c r="A1221" s="4"/>
      <c r="G1221" s="3">
        <f t="shared" si="20"/>
        <v>0</v>
      </c>
    </row>
    <row r="1222" spans="1:7" x14ac:dyDescent="0.25">
      <c r="A1222" s="4"/>
      <c r="G1222" s="3">
        <f t="shared" si="20"/>
        <v>0</v>
      </c>
    </row>
    <row r="1223" spans="1:7" x14ac:dyDescent="0.25">
      <c r="A1223" s="4"/>
      <c r="G1223" s="3">
        <f t="shared" si="20"/>
        <v>0</v>
      </c>
    </row>
    <row r="1224" spans="1:7" x14ac:dyDescent="0.25">
      <c r="A1224" s="4"/>
      <c r="G1224" s="3">
        <f t="shared" si="20"/>
        <v>0</v>
      </c>
    </row>
    <row r="1225" spans="1:7" x14ac:dyDescent="0.25">
      <c r="A1225" s="4"/>
      <c r="G1225" s="3">
        <f t="shared" si="20"/>
        <v>0</v>
      </c>
    </row>
    <row r="1226" spans="1:7" x14ac:dyDescent="0.25">
      <c r="A1226" s="4"/>
      <c r="G1226" s="3">
        <f t="shared" si="20"/>
        <v>0</v>
      </c>
    </row>
    <row r="1227" spans="1:7" x14ac:dyDescent="0.25">
      <c r="A1227" s="4"/>
      <c r="G1227" s="3">
        <f t="shared" si="20"/>
        <v>0</v>
      </c>
    </row>
    <row r="1228" spans="1:7" x14ac:dyDescent="0.25">
      <c r="A1228" s="4"/>
      <c r="G1228" s="3">
        <f t="shared" si="20"/>
        <v>0</v>
      </c>
    </row>
    <row r="1229" spans="1:7" x14ac:dyDescent="0.25">
      <c r="A1229" s="4"/>
      <c r="G1229" s="3">
        <f t="shared" si="20"/>
        <v>0</v>
      </c>
    </row>
    <row r="1230" spans="1:7" x14ac:dyDescent="0.25">
      <c r="A1230" s="4"/>
      <c r="G1230" s="3">
        <f t="shared" si="20"/>
        <v>0</v>
      </c>
    </row>
    <row r="1231" spans="1:7" x14ac:dyDescent="0.25">
      <c r="A1231" s="4"/>
      <c r="G1231" s="3">
        <f t="shared" si="20"/>
        <v>0</v>
      </c>
    </row>
    <row r="1232" spans="1:7" x14ac:dyDescent="0.25">
      <c r="A1232" s="4"/>
      <c r="G1232" s="3">
        <f t="shared" si="20"/>
        <v>0</v>
      </c>
    </row>
    <row r="1233" spans="1:7" x14ac:dyDescent="0.25">
      <c r="A1233" s="4"/>
      <c r="G1233" s="3">
        <f t="shared" si="20"/>
        <v>0</v>
      </c>
    </row>
    <row r="1234" spans="1:7" x14ac:dyDescent="0.25">
      <c r="A1234" s="4"/>
      <c r="G1234" s="3">
        <f t="shared" si="20"/>
        <v>0</v>
      </c>
    </row>
    <row r="1235" spans="1:7" x14ac:dyDescent="0.25">
      <c r="A1235" s="4"/>
      <c r="G1235" s="3">
        <f t="shared" si="20"/>
        <v>0</v>
      </c>
    </row>
    <row r="1236" spans="1:7" x14ac:dyDescent="0.25">
      <c r="A1236" s="4"/>
      <c r="G1236" s="3">
        <f t="shared" si="20"/>
        <v>0</v>
      </c>
    </row>
    <row r="1237" spans="1:7" x14ac:dyDescent="0.25">
      <c r="A1237" s="4"/>
      <c r="G1237" s="3">
        <f t="shared" si="20"/>
        <v>0</v>
      </c>
    </row>
    <row r="1238" spans="1:7" x14ac:dyDescent="0.25">
      <c r="A1238" s="4"/>
      <c r="G1238" s="3">
        <f t="shared" si="20"/>
        <v>0</v>
      </c>
    </row>
    <row r="1239" spans="1:7" x14ac:dyDescent="0.25">
      <c r="A1239" s="4"/>
      <c r="G1239" s="3">
        <f t="shared" si="20"/>
        <v>0</v>
      </c>
    </row>
    <row r="1240" spans="1:7" x14ac:dyDescent="0.25">
      <c r="A1240" s="4"/>
      <c r="G1240" s="3">
        <f t="shared" si="20"/>
        <v>0</v>
      </c>
    </row>
    <row r="1241" spans="1:7" x14ac:dyDescent="0.25">
      <c r="A1241" s="4"/>
      <c r="G1241" s="3">
        <f t="shared" si="20"/>
        <v>0</v>
      </c>
    </row>
    <row r="1242" spans="1:7" x14ac:dyDescent="0.25">
      <c r="A1242" s="4"/>
      <c r="G1242" s="3">
        <f t="shared" si="20"/>
        <v>0</v>
      </c>
    </row>
    <row r="1243" spans="1:7" x14ac:dyDescent="0.25">
      <c r="A1243" s="4"/>
      <c r="G1243" s="3">
        <f t="shared" si="20"/>
        <v>0</v>
      </c>
    </row>
    <row r="1244" spans="1:7" x14ac:dyDescent="0.25">
      <c r="A1244" s="4"/>
      <c r="G1244" s="3">
        <f t="shared" si="20"/>
        <v>0</v>
      </c>
    </row>
    <row r="1245" spans="1:7" x14ac:dyDescent="0.25">
      <c r="A1245" s="4"/>
      <c r="G1245" s="3">
        <f t="shared" si="20"/>
        <v>0</v>
      </c>
    </row>
    <row r="1246" spans="1:7" x14ac:dyDescent="0.25">
      <c r="A1246" s="4"/>
      <c r="G1246" s="3">
        <f t="shared" si="20"/>
        <v>0</v>
      </c>
    </row>
    <row r="1247" spans="1:7" x14ac:dyDescent="0.25">
      <c r="A1247" s="4"/>
      <c r="G1247" s="3">
        <f t="shared" si="20"/>
        <v>0</v>
      </c>
    </row>
    <row r="1248" spans="1:7" x14ac:dyDescent="0.25">
      <c r="A1248" s="4"/>
      <c r="G1248" s="3">
        <f t="shared" si="20"/>
        <v>0</v>
      </c>
    </row>
    <row r="1249" spans="1:7" x14ac:dyDescent="0.25">
      <c r="A1249" s="4"/>
      <c r="G1249" s="3">
        <f t="shared" si="20"/>
        <v>0</v>
      </c>
    </row>
    <row r="1250" spans="1:7" x14ac:dyDescent="0.25">
      <c r="A1250" s="4"/>
      <c r="G1250" s="3">
        <f t="shared" si="20"/>
        <v>0</v>
      </c>
    </row>
    <row r="1251" spans="1:7" x14ac:dyDescent="0.25">
      <c r="A1251" s="4"/>
      <c r="G1251" s="3">
        <f t="shared" si="20"/>
        <v>0</v>
      </c>
    </row>
    <row r="1252" spans="1:7" x14ac:dyDescent="0.25">
      <c r="A1252" s="4"/>
      <c r="G1252" s="3">
        <f t="shared" si="20"/>
        <v>0</v>
      </c>
    </row>
    <row r="1253" spans="1:7" x14ac:dyDescent="0.25">
      <c r="A1253" s="4"/>
      <c r="G1253" s="3">
        <f t="shared" si="20"/>
        <v>0</v>
      </c>
    </row>
    <row r="1254" spans="1:7" x14ac:dyDescent="0.25">
      <c r="A1254" s="4"/>
      <c r="G1254" s="3">
        <f t="shared" si="20"/>
        <v>0</v>
      </c>
    </row>
    <row r="1255" spans="1:7" x14ac:dyDescent="0.25">
      <c r="A1255" s="4"/>
      <c r="G1255" s="3">
        <f t="shared" si="20"/>
        <v>0</v>
      </c>
    </row>
    <row r="1256" spans="1:7" x14ac:dyDescent="0.25">
      <c r="A1256" s="4"/>
      <c r="G1256" s="3">
        <f t="shared" si="20"/>
        <v>0</v>
      </c>
    </row>
    <row r="1257" spans="1:7" x14ac:dyDescent="0.25">
      <c r="A1257" s="4"/>
      <c r="G1257" s="3">
        <f t="shared" si="20"/>
        <v>0</v>
      </c>
    </row>
    <row r="1258" spans="1:7" x14ac:dyDescent="0.25">
      <c r="A1258" s="4"/>
      <c r="G1258" s="3">
        <f t="shared" si="20"/>
        <v>0</v>
      </c>
    </row>
    <row r="1259" spans="1:7" x14ac:dyDescent="0.25">
      <c r="A1259" s="4"/>
      <c r="G1259" s="3">
        <f t="shared" si="20"/>
        <v>0</v>
      </c>
    </row>
    <row r="1260" spans="1:7" x14ac:dyDescent="0.25">
      <c r="A1260" s="4"/>
      <c r="G1260" s="3">
        <f t="shared" ref="G1260:G1323" si="21">D1260+E1260-F1260</f>
        <v>0</v>
      </c>
    </row>
    <row r="1261" spans="1:7" x14ac:dyDescent="0.25">
      <c r="A1261" s="4"/>
      <c r="G1261" s="3">
        <f t="shared" si="21"/>
        <v>0</v>
      </c>
    </row>
    <row r="1262" spans="1:7" x14ac:dyDescent="0.25">
      <c r="A1262" s="4"/>
      <c r="G1262" s="3">
        <f t="shared" si="21"/>
        <v>0</v>
      </c>
    </row>
    <row r="1263" spans="1:7" x14ac:dyDescent="0.25">
      <c r="A1263" s="4"/>
      <c r="G1263" s="3">
        <f t="shared" si="21"/>
        <v>0</v>
      </c>
    </row>
    <row r="1264" spans="1:7" x14ac:dyDescent="0.25">
      <c r="A1264" s="4"/>
      <c r="G1264" s="3">
        <f t="shared" si="21"/>
        <v>0</v>
      </c>
    </row>
    <row r="1265" spans="1:7" x14ac:dyDescent="0.25">
      <c r="A1265" s="4"/>
      <c r="G1265" s="3">
        <f t="shared" si="21"/>
        <v>0</v>
      </c>
    </row>
    <row r="1266" spans="1:7" x14ac:dyDescent="0.25">
      <c r="A1266" s="4"/>
      <c r="G1266" s="3">
        <f t="shared" si="21"/>
        <v>0</v>
      </c>
    </row>
    <row r="1267" spans="1:7" x14ac:dyDescent="0.25">
      <c r="A1267" s="4"/>
      <c r="G1267" s="3">
        <f t="shared" si="21"/>
        <v>0</v>
      </c>
    </row>
    <row r="1268" spans="1:7" x14ac:dyDescent="0.25">
      <c r="A1268" s="4"/>
      <c r="G1268" s="3">
        <f t="shared" si="21"/>
        <v>0</v>
      </c>
    </row>
    <row r="1269" spans="1:7" x14ac:dyDescent="0.25">
      <c r="A1269" s="4"/>
      <c r="G1269" s="3">
        <f t="shared" si="21"/>
        <v>0</v>
      </c>
    </row>
    <row r="1270" spans="1:7" x14ac:dyDescent="0.25">
      <c r="A1270" s="4"/>
      <c r="G1270" s="3">
        <f t="shared" si="21"/>
        <v>0</v>
      </c>
    </row>
    <row r="1271" spans="1:7" x14ac:dyDescent="0.25">
      <c r="A1271" s="4"/>
      <c r="G1271" s="3">
        <f t="shared" si="21"/>
        <v>0</v>
      </c>
    </row>
    <row r="1272" spans="1:7" x14ac:dyDescent="0.25">
      <c r="A1272" s="4"/>
      <c r="G1272" s="3">
        <f t="shared" si="21"/>
        <v>0</v>
      </c>
    </row>
    <row r="1273" spans="1:7" x14ac:dyDescent="0.25">
      <c r="A1273" s="4"/>
      <c r="G1273" s="3">
        <f t="shared" si="21"/>
        <v>0</v>
      </c>
    </row>
    <row r="1274" spans="1:7" x14ac:dyDescent="0.25">
      <c r="A1274" s="4"/>
      <c r="G1274" s="3">
        <f t="shared" si="21"/>
        <v>0</v>
      </c>
    </row>
    <row r="1275" spans="1:7" x14ac:dyDescent="0.25">
      <c r="A1275" s="4"/>
      <c r="G1275" s="3">
        <f t="shared" si="21"/>
        <v>0</v>
      </c>
    </row>
    <row r="1276" spans="1:7" x14ac:dyDescent="0.25">
      <c r="A1276" s="4"/>
      <c r="G1276" s="3">
        <f t="shared" si="21"/>
        <v>0</v>
      </c>
    </row>
    <row r="1277" spans="1:7" x14ac:dyDescent="0.25">
      <c r="A1277" s="4"/>
      <c r="G1277" s="3">
        <f t="shared" si="21"/>
        <v>0</v>
      </c>
    </row>
    <row r="1278" spans="1:7" x14ac:dyDescent="0.25">
      <c r="A1278" s="4"/>
      <c r="G1278" s="3">
        <f t="shared" si="21"/>
        <v>0</v>
      </c>
    </row>
    <row r="1279" spans="1:7" x14ac:dyDescent="0.25">
      <c r="A1279" s="4"/>
      <c r="G1279" s="3">
        <f t="shared" si="21"/>
        <v>0</v>
      </c>
    </row>
    <row r="1280" spans="1:7" x14ac:dyDescent="0.25">
      <c r="A1280" s="4"/>
      <c r="G1280" s="3">
        <f t="shared" si="21"/>
        <v>0</v>
      </c>
    </row>
    <row r="1281" spans="1:7" x14ac:dyDescent="0.25">
      <c r="A1281" s="4"/>
      <c r="G1281" s="3">
        <f t="shared" si="21"/>
        <v>0</v>
      </c>
    </row>
    <row r="1282" spans="1:7" x14ac:dyDescent="0.25">
      <c r="A1282" s="4"/>
      <c r="G1282" s="3">
        <f t="shared" si="21"/>
        <v>0</v>
      </c>
    </row>
    <row r="1283" spans="1:7" x14ac:dyDescent="0.25">
      <c r="A1283" s="4"/>
      <c r="G1283" s="3">
        <f t="shared" si="21"/>
        <v>0</v>
      </c>
    </row>
    <row r="1284" spans="1:7" x14ac:dyDescent="0.25">
      <c r="A1284" s="4"/>
      <c r="G1284" s="3">
        <f t="shared" si="21"/>
        <v>0</v>
      </c>
    </row>
    <row r="1285" spans="1:7" x14ac:dyDescent="0.25">
      <c r="A1285" s="4"/>
      <c r="G1285" s="3">
        <f t="shared" si="21"/>
        <v>0</v>
      </c>
    </row>
    <row r="1286" spans="1:7" x14ac:dyDescent="0.25">
      <c r="A1286" s="4"/>
      <c r="G1286" s="3">
        <f t="shared" si="21"/>
        <v>0</v>
      </c>
    </row>
    <row r="1287" spans="1:7" x14ac:dyDescent="0.25">
      <c r="A1287" s="4"/>
      <c r="G1287" s="3">
        <f t="shared" si="21"/>
        <v>0</v>
      </c>
    </row>
    <row r="1288" spans="1:7" x14ac:dyDescent="0.25">
      <c r="A1288" s="4"/>
      <c r="G1288" s="3">
        <f t="shared" si="21"/>
        <v>0</v>
      </c>
    </row>
    <row r="1289" spans="1:7" x14ac:dyDescent="0.25">
      <c r="A1289" s="4"/>
      <c r="G1289" s="3">
        <f t="shared" si="21"/>
        <v>0</v>
      </c>
    </row>
    <row r="1290" spans="1:7" x14ac:dyDescent="0.25">
      <c r="A1290" s="4"/>
      <c r="G1290" s="3">
        <f t="shared" si="21"/>
        <v>0</v>
      </c>
    </row>
    <row r="1291" spans="1:7" x14ac:dyDescent="0.25">
      <c r="A1291" s="4"/>
      <c r="G1291" s="3">
        <f t="shared" si="21"/>
        <v>0</v>
      </c>
    </row>
    <row r="1292" spans="1:7" x14ac:dyDescent="0.25">
      <c r="A1292" s="4"/>
      <c r="G1292" s="3">
        <f t="shared" si="21"/>
        <v>0</v>
      </c>
    </row>
    <row r="1293" spans="1:7" x14ac:dyDescent="0.25">
      <c r="A1293" s="4"/>
      <c r="G1293" s="3">
        <f t="shared" si="21"/>
        <v>0</v>
      </c>
    </row>
    <row r="1294" spans="1:7" x14ac:dyDescent="0.25">
      <c r="A1294" s="4"/>
      <c r="G1294" s="3">
        <f t="shared" si="21"/>
        <v>0</v>
      </c>
    </row>
    <row r="1295" spans="1:7" x14ac:dyDescent="0.25">
      <c r="A1295" s="4"/>
      <c r="G1295" s="3">
        <f t="shared" si="21"/>
        <v>0</v>
      </c>
    </row>
    <row r="1296" spans="1:7" x14ac:dyDescent="0.25">
      <c r="A1296" s="4"/>
      <c r="G1296" s="3">
        <f t="shared" si="21"/>
        <v>0</v>
      </c>
    </row>
    <row r="1297" spans="1:7" x14ac:dyDescent="0.25">
      <c r="A1297" s="4"/>
      <c r="G1297" s="3">
        <f t="shared" si="21"/>
        <v>0</v>
      </c>
    </row>
    <row r="1298" spans="1:7" x14ac:dyDescent="0.25">
      <c r="A1298" s="4"/>
      <c r="G1298" s="3">
        <f t="shared" si="21"/>
        <v>0</v>
      </c>
    </row>
    <row r="1299" spans="1:7" x14ac:dyDescent="0.25">
      <c r="A1299" s="4"/>
      <c r="G1299" s="3">
        <f t="shared" si="21"/>
        <v>0</v>
      </c>
    </row>
    <row r="1300" spans="1:7" x14ac:dyDescent="0.25">
      <c r="A1300" s="4"/>
      <c r="G1300" s="3">
        <f t="shared" si="21"/>
        <v>0</v>
      </c>
    </row>
    <row r="1301" spans="1:7" x14ac:dyDescent="0.25">
      <c r="A1301" s="4"/>
      <c r="G1301" s="3">
        <f t="shared" si="21"/>
        <v>0</v>
      </c>
    </row>
    <row r="1302" spans="1:7" x14ac:dyDescent="0.25">
      <c r="A1302" s="4"/>
      <c r="G1302" s="3">
        <f t="shared" si="21"/>
        <v>0</v>
      </c>
    </row>
    <row r="1303" spans="1:7" x14ac:dyDescent="0.25">
      <c r="A1303" s="4"/>
      <c r="G1303" s="3">
        <f t="shared" si="21"/>
        <v>0</v>
      </c>
    </row>
    <row r="1304" spans="1:7" x14ac:dyDescent="0.25">
      <c r="A1304" s="4"/>
      <c r="G1304" s="3">
        <f t="shared" si="21"/>
        <v>0</v>
      </c>
    </row>
    <row r="1305" spans="1:7" x14ac:dyDescent="0.25">
      <c r="A1305" s="4"/>
      <c r="G1305" s="3">
        <f t="shared" si="21"/>
        <v>0</v>
      </c>
    </row>
    <row r="1306" spans="1:7" x14ac:dyDescent="0.25">
      <c r="A1306" s="4"/>
      <c r="G1306" s="3">
        <f t="shared" si="21"/>
        <v>0</v>
      </c>
    </row>
    <row r="1307" spans="1:7" x14ac:dyDescent="0.25">
      <c r="A1307" s="4"/>
      <c r="G1307" s="3">
        <f t="shared" si="21"/>
        <v>0</v>
      </c>
    </row>
    <row r="1308" spans="1:7" x14ac:dyDescent="0.25">
      <c r="A1308" s="4"/>
      <c r="G1308" s="3">
        <f t="shared" si="21"/>
        <v>0</v>
      </c>
    </row>
    <row r="1309" spans="1:7" x14ac:dyDescent="0.25">
      <c r="A1309" s="4"/>
      <c r="G1309" s="3">
        <f t="shared" si="21"/>
        <v>0</v>
      </c>
    </row>
    <row r="1310" spans="1:7" x14ac:dyDescent="0.25">
      <c r="A1310" s="4"/>
      <c r="G1310" s="3">
        <f t="shared" si="21"/>
        <v>0</v>
      </c>
    </row>
    <row r="1311" spans="1:7" x14ac:dyDescent="0.25">
      <c r="A1311" s="4"/>
      <c r="G1311" s="3">
        <f t="shared" si="21"/>
        <v>0</v>
      </c>
    </row>
    <row r="1312" spans="1:7" x14ac:dyDescent="0.25">
      <c r="A1312" s="4"/>
      <c r="G1312" s="3">
        <f t="shared" si="21"/>
        <v>0</v>
      </c>
    </row>
    <row r="1313" spans="1:7" x14ac:dyDescent="0.25">
      <c r="A1313" s="4"/>
      <c r="G1313" s="3">
        <f t="shared" si="21"/>
        <v>0</v>
      </c>
    </row>
    <row r="1314" spans="1:7" x14ac:dyDescent="0.25">
      <c r="A1314" s="4"/>
      <c r="G1314" s="3">
        <f t="shared" si="21"/>
        <v>0</v>
      </c>
    </row>
    <row r="1315" spans="1:7" x14ac:dyDescent="0.25">
      <c r="A1315" s="4"/>
      <c r="G1315" s="3">
        <f t="shared" si="21"/>
        <v>0</v>
      </c>
    </row>
    <row r="1316" spans="1:7" x14ac:dyDescent="0.25">
      <c r="A1316" s="4"/>
      <c r="G1316" s="3">
        <f t="shared" si="21"/>
        <v>0</v>
      </c>
    </row>
    <row r="1317" spans="1:7" x14ac:dyDescent="0.25">
      <c r="A1317" s="4"/>
      <c r="G1317" s="3">
        <f t="shared" si="21"/>
        <v>0</v>
      </c>
    </row>
    <row r="1318" spans="1:7" x14ac:dyDescent="0.25">
      <c r="A1318" s="4"/>
      <c r="G1318" s="3">
        <f t="shared" si="21"/>
        <v>0</v>
      </c>
    </row>
    <row r="1319" spans="1:7" x14ac:dyDescent="0.25">
      <c r="A1319" s="4"/>
      <c r="G1319" s="3">
        <f t="shared" si="21"/>
        <v>0</v>
      </c>
    </row>
    <row r="1320" spans="1:7" x14ac:dyDescent="0.25">
      <c r="A1320" s="4"/>
      <c r="G1320" s="3">
        <f t="shared" si="21"/>
        <v>0</v>
      </c>
    </row>
    <row r="1321" spans="1:7" x14ac:dyDescent="0.25">
      <c r="A1321" s="4"/>
      <c r="G1321" s="3">
        <f t="shared" si="21"/>
        <v>0</v>
      </c>
    </row>
    <row r="1322" spans="1:7" x14ac:dyDescent="0.25">
      <c r="A1322" s="4"/>
      <c r="G1322" s="3">
        <f t="shared" si="21"/>
        <v>0</v>
      </c>
    </row>
    <row r="1323" spans="1:7" x14ac:dyDescent="0.25">
      <c r="A1323" s="4"/>
      <c r="G1323" s="3">
        <f t="shared" si="21"/>
        <v>0</v>
      </c>
    </row>
    <row r="1324" spans="1:7" x14ac:dyDescent="0.25">
      <c r="A1324" s="4"/>
      <c r="G1324" s="3">
        <f t="shared" ref="G1324:G1387" si="22">D1324+E1324-F1324</f>
        <v>0</v>
      </c>
    </row>
    <row r="1325" spans="1:7" x14ac:dyDescent="0.25">
      <c r="A1325" s="4"/>
      <c r="G1325" s="3">
        <f t="shared" si="22"/>
        <v>0</v>
      </c>
    </row>
    <row r="1326" spans="1:7" x14ac:dyDescent="0.25">
      <c r="A1326" s="4"/>
      <c r="G1326" s="3">
        <f t="shared" si="22"/>
        <v>0</v>
      </c>
    </row>
    <row r="1327" spans="1:7" x14ac:dyDescent="0.25">
      <c r="A1327" s="4"/>
      <c r="G1327" s="3">
        <f t="shared" si="22"/>
        <v>0</v>
      </c>
    </row>
    <row r="1328" spans="1:7" x14ac:dyDescent="0.25">
      <c r="A1328" s="4"/>
      <c r="G1328" s="3">
        <f t="shared" si="22"/>
        <v>0</v>
      </c>
    </row>
    <row r="1329" spans="1:7" x14ac:dyDescent="0.25">
      <c r="A1329" s="4"/>
      <c r="G1329" s="3">
        <f t="shared" si="22"/>
        <v>0</v>
      </c>
    </row>
    <row r="1330" spans="1:7" x14ac:dyDescent="0.25">
      <c r="A1330" s="4"/>
      <c r="G1330" s="3">
        <f t="shared" si="22"/>
        <v>0</v>
      </c>
    </row>
    <row r="1331" spans="1:7" x14ac:dyDescent="0.25">
      <c r="A1331" s="4"/>
      <c r="G1331" s="3">
        <f t="shared" si="22"/>
        <v>0</v>
      </c>
    </row>
    <row r="1332" spans="1:7" x14ac:dyDescent="0.25">
      <c r="A1332" s="4"/>
      <c r="G1332" s="3">
        <f t="shared" si="22"/>
        <v>0</v>
      </c>
    </row>
    <row r="1333" spans="1:7" x14ac:dyDescent="0.25">
      <c r="A1333" s="4"/>
      <c r="G1333" s="3">
        <f t="shared" si="22"/>
        <v>0</v>
      </c>
    </row>
    <row r="1334" spans="1:7" x14ac:dyDescent="0.25">
      <c r="A1334" s="4"/>
      <c r="G1334" s="3">
        <f t="shared" si="22"/>
        <v>0</v>
      </c>
    </row>
    <row r="1335" spans="1:7" x14ac:dyDescent="0.25">
      <c r="A1335" s="4"/>
      <c r="G1335" s="3">
        <f t="shared" si="22"/>
        <v>0</v>
      </c>
    </row>
    <row r="1336" spans="1:7" x14ac:dyDescent="0.25">
      <c r="A1336" s="4"/>
      <c r="G1336" s="3">
        <f t="shared" si="22"/>
        <v>0</v>
      </c>
    </row>
    <row r="1337" spans="1:7" x14ac:dyDescent="0.25">
      <c r="A1337" s="4"/>
      <c r="G1337" s="3">
        <f t="shared" si="22"/>
        <v>0</v>
      </c>
    </row>
    <row r="1338" spans="1:7" x14ac:dyDescent="0.25">
      <c r="A1338" s="4"/>
      <c r="G1338" s="3">
        <f t="shared" si="22"/>
        <v>0</v>
      </c>
    </row>
    <row r="1339" spans="1:7" x14ac:dyDescent="0.25">
      <c r="A1339" s="4"/>
      <c r="G1339" s="3">
        <f t="shared" si="22"/>
        <v>0</v>
      </c>
    </row>
    <row r="1340" spans="1:7" x14ac:dyDescent="0.25">
      <c r="A1340" s="4"/>
      <c r="G1340" s="3">
        <f t="shared" si="22"/>
        <v>0</v>
      </c>
    </row>
    <row r="1341" spans="1:7" x14ac:dyDescent="0.25">
      <c r="A1341" s="4"/>
      <c r="G1341" s="3">
        <f t="shared" si="22"/>
        <v>0</v>
      </c>
    </row>
    <row r="1342" spans="1:7" x14ac:dyDescent="0.25">
      <c r="A1342" s="4"/>
      <c r="G1342" s="3">
        <f t="shared" si="22"/>
        <v>0</v>
      </c>
    </row>
    <row r="1343" spans="1:7" x14ac:dyDescent="0.25">
      <c r="A1343" s="4"/>
      <c r="G1343" s="3">
        <f t="shared" si="22"/>
        <v>0</v>
      </c>
    </row>
    <row r="1344" spans="1:7" x14ac:dyDescent="0.25">
      <c r="A1344" s="4"/>
      <c r="G1344" s="3">
        <f t="shared" si="22"/>
        <v>0</v>
      </c>
    </row>
    <row r="1345" spans="1:7" x14ac:dyDescent="0.25">
      <c r="A1345" s="4"/>
      <c r="G1345" s="3">
        <f t="shared" si="22"/>
        <v>0</v>
      </c>
    </row>
    <row r="1346" spans="1:7" x14ac:dyDescent="0.25">
      <c r="A1346" s="4"/>
      <c r="G1346" s="3">
        <f t="shared" si="22"/>
        <v>0</v>
      </c>
    </row>
    <row r="1347" spans="1:7" x14ac:dyDescent="0.25">
      <c r="A1347" s="4"/>
      <c r="G1347" s="3">
        <f t="shared" si="22"/>
        <v>0</v>
      </c>
    </row>
    <row r="1348" spans="1:7" x14ac:dyDescent="0.25">
      <c r="A1348" s="4"/>
      <c r="G1348" s="3">
        <f t="shared" si="22"/>
        <v>0</v>
      </c>
    </row>
    <row r="1349" spans="1:7" x14ac:dyDescent="0.25">
      <c r="A1349" s="4"/>
      <c r="G1349" s="3">
        <f t="shared" si="22"/>
        <v>0</v>
      </c>
    </row>
    <row r="1350" spans="1:7" x14ac:dyDescent="0.25">
      <c r="A1350" s="4"/>
      <c r="G1350" s="3">
        <f t="shared" si="22"/>
        <v>0</v>
      </c>
    </row>
    <row r="1351" spans="1:7" x14ac:dyDescent="0.25">
      <c r="A1351" s="4"/>
      <c r="G1351" s="3">
        <f t="shared" si="22"/>
        <v>0</v>
      </c>
    </row>
    <row r="1352" spans="1:7" x14ac:dyDescent="0.25">
      <c r="A1352" s="4"/>
      <c r="G1352" s="3">
        <f t="shared" si="22"/>
        <v>0</v>
      </c>
    </row>
    <row r="1353" spans="1:7" x14ac:dyDescent="0.25">
      <c r="A1353" s="4"/>
      <c r="G1353" s="3">
        <f t="shared" si="22"/>
        <v>0</v>
      </c>
    </row>
    <row r="1354" spans="1:7" x14ac:dyDescent="0.25">
      <c r="A1354" s="4"/>
      <c r="G1354" s="3">
        <f t="shared" si="22"/>
        <v>0</v>
      </c>
    </row>
    <row r="1355" spans="1:7" x14ac:dyDescent="0.25">
      <c r="A1355" s="4"/>
      <c r="G1355" s="3">
        <f t="shared" si="22"/>
        <v>0</v>
      </c>
    </row>
    <row r="1356" spans="1:7" x14ac:dyDescent="0.25">
      <c r="A1356" s="4"/>
      <c r="G1356" s="3">
        <f t="shared" si="22"/>
        <v>0</v>
      </c>
    </row>
    <row r="1357" spans="1:7" x14ac:dyDescent="0.25">
      <c r="A1357" s="4"/>
      <c r="G1357" s="3">
        <f t="shared" si="22"/>
        <v>0</v>
      </c>
    </row>
    <row r="1358" spans="1:7" x14ac:dyDescent="0.25">
      <c r="A1358" s="4"/>
      <c r="G1358" s="3">
        <f t="shared" si="22"/>
        <v>0</v>
      </c>
    </row>
    <row r="1359" spans="1:7" x14ac:dyDescent="0.25">
      <c r="A1359" s="4"/>
      <c r="G1359" s="3">
        <f t="shared" si="22"/>
        <v>0</v>
      </c>
    </row>
    <row r="1360" spans="1:7" x14ac:dyDescent="0.25">
      <c r="A1360" s="4"/>
      <c r="G1360" s="3">
        <f t="shared" si="22"/>
        <v>0</v>
      </c>
    </row>
    <row r="1361" spans="1:7" x14ac:dyDescent="0.25">
      <c r="A1361" s="4"/>
      <c r="G1361" s="3">
        <f t="shared" si="22"/>
        <v>0</v>
      </c>
    </row>
    <row r="1362" spans="1:7" x14ac:dyDescent="0.25">
      <c r="A1362" s="4"/>
      <c r="G1362" s="3">
        <f t="shared" si="22"/>
        <v>0</v>
      </c>
    </row>
    <row r="1363" spans="1:7" x14ac:dyDescent="0.25">
      <c r="A1363" s="4"/>
      <c r="G1363" s="3">
        <f t="shared" si="22"/>
        <v>0</v>
      </c>
    </row>
    <row r="1364" spans="1:7" x14ac:dyDescent="0.25">
      <c r="A1364" s="4"/>
      <c r="G1364" s="3">
        <f t="shared" si="22"/>
        <v>0</v>
      </c>
    </row>
    <row r="1365" spans="1:7" x14ac:dyDescent="0.25">
      <c r="A1365" s="4"/>
      <c r="G1365" s="3">
        <f t="shared" si="22"/>
        <v>0</v>
      </c>
    </row>
    <row r="1366" spans="1:7" x14ac:dyDescent="0.25">
      <c r="A1366" s="4"/>
      <c r="G1366" s="3">
        <f t="shared" si="22"/>
        <v>0</v>
      </c>
    </row>
    <row r="1367" spans="1:7" x14ac:dyDescent="0.25">
      <c r="A1367" s="4"/>
      <c r="G1367" s="3">
        <f t="shared" si="22"/>
        <v>0</v>
      </c>
    </row>
    <row r="1368" spans="1:7" x14ac:dyDescent="0.25">
      <c r="A1368" s="4"/>
      <c r="G1368" s="3">
        <f t="shared" si="22"/>
        <v>0</v>
      </c>
    </row>
    <row r="1369" spans="1:7" x14ac:dyDescent="0.25">
      <c r="A1369" s="4"/>
      <c r="G1369" s="3">
        <f t="shared" si="22"/>
        <v>0</v>
      </c>
    </row>
    <row r="1370" spans="1:7" x14ac:dyDescent="0.25">
      <c r="A1370" s="4"/>
      <c r="G1370" s="3">
        <f t="shared" si="22"/>
        <v>0</v>
      </c>
    </row>
    <row r="1371" spans="1:7" x14ac:dyDescent="0.25">
      <c r="A1371" s="4"/>
      <c r="G1371" s="3">
        <f t="shared" si="22"/>
        <v>0</v>
      </c>
    </row>
    <row r="1372" spans="1:7" x14ac:dyDescent="0.25">
      <c r="A1372" s="4"/>
      <c r="G1372" s="3">
        <f t="shared" si="22"/>
        <v>0</v>
      </c>
    </row>
    <row r="1373" spans="1:7" x14ac:dyDescent="0.25">
      <c r="A1373" s="4"/>
      <c r="G1373" s="3">
        <f t="shared" si="22"/>
        <v>0</v>
      </c>
    </row>
    <row r="1374" spans="1:7" x14ac:dyDescent="0.25">
      <c r="A1374" s="4"/>
      <c r="G1374" s="3">
        <f t="shared" si="22"/>
        <v>0</v>
      </c>
    </row>
    <row r="1375" spans="1:7" x14ac:dyDescent="0.25">
      <c r="A1375" s="4"/>
      <c r="G1375" s="3">
        <f t="shared" si="22"/>
        <v>0</v>
      </c>
    </row>
    <row r="1376" spans="1:7" x14ac:dyDescent="0.25">
      <c r="A1376" s="4"/>
      <c r="G1376" s="3">
        <f t="shared" si="22"/>
        <v>0</v>
      </c>
    </row>
    <row r="1377" spans="1:7" x14ac:dyDescent="0.25">
      <c r="A1377" s="4"/>
      <c r="G1377" s="3">
        <f t="shared" si="22"/>
        <v>0</v>
      </c>
    </row>
    <row r="1378" spans="1:7" x14ac:dyDescent="0.25">
      <c r="A1378" s="4"/>
      <c r="G1378" s="3">
        <f t="shared" si="22"/>
        <v>0</v>
      </c>
    </row>
    <row r="1379" spans="1:7" x14ac:dyDescent="0.25">
      <c r="A1379" s="4"/>
      <c r="G1379" s="3">
        <f t="shared" si="22"/>
        <v>0</v>
      </c>
    </row>
    <row r="1380" spans="1:7" x14ac:dyDescent="0.25">
      <c r="A1380" s="4"/>
      <c r="G1380" s="3">
        <f t="shared" si="22"/>
        <v>0</v>
      </c>
    </row>
    <row r="1381" spans="1:7" x14ac:dyDescent="0.25">
      <c r="A1381" s="4"/>
      <c r="G1381" s="3">
        <f t="shared" si="22"/>
        <v>0</v>
      </c>
    </row>
    <row r="1382" spans="1:7" x14ac:dyDescent="0.25">
      <c r="A1382" s="4"/>
      <c r="G1382" s="3">
        <f t="shared" si="22"/>
        <v>0</v>
      </c>
    </row>
    <row r="1383" spans="1:7" x14ac:dyDescent="0.25">
      <c r="A1383" s="4"/>
      <c r="G1383" s="3">
        <f t="shared" si="22"/>
        <v>0</v>
      </c>
    </row>
    <row r="1384" spans="1:7" x14ac:dyDescent="0.25">
      <c r="A1384" s="4"/>
      <c r="G1384" s="3">
        <f t="shared" si="22"/>
        <v>0</v>
      </c>
    </row>
    <row r="1385" spans="1:7" x14ac:dyDescent="0.25">
      <c r="A1385" s="4"/>
      <c r="G1385" s="3">
        <f t="shared" si="22"/>
        <v>0</v>
      </c>
    </row>
    <row r="1386" spans="1:7" x14ac:dyDescent="0.25">
      <c r="A1386" s="4"/>
      <c r="G1386" s="3">
        <f t="shared" si="22"/>
        <v>0</v>
      </c>
    </row>
    <row r="1387" spans="1:7" x14ac:dyDescent="0.25">
      <c r="A1387" s="4"/>
      <c r="G1387" s="3">
        <f t="shared" si="22"/>
        <v>0</v>
      </c>
    </row>
    <row r="1388" spans="1:7" x14ac:dyDescent="0.25">
      <c r="A1388" s="4"/>
      <c r="G1388" s="3">
        <f t="shared" ref="G1388:G1451" si="23">D1388+E1388-F1388</f>
        <v>0</v>
      </c>
    </row>
    <row r="1389" spans="1:7" x14ac:dyDescent="0.25">
      <c r="A1389" s="4"/>
      <c r="G1389" s="3">
        <f t="shared" si="23"/>
        <v>0</v>
      </c>
    </row>
    <row r="1390" spans="1:7" x14ac:dyDescent="0.25">
      <c r="A1390" s="4"/>
      <c r="G1390" s="3">
        <f t="shared" si="23"/>
        <v>0</v>
      </c>
    </row>
    <row r="1391" spans="1:7" x14ac:dyDescent="0.25">
      <c r="A1391" s="4"/>
      <c r="G1391" s="3">
        <f t="shared" si="23"/>
        <v>0</v>
      </c>
    </row>
    <row r="1392" spans="1:7" x14ac:dyDescent="0.25">
      <c r="A1392" s="4"/>
      <c r="G1392" s="3">
        <f t="shared" si="23"/>
        <v>0</v>
      </c>
    </row>
    <row r="1393" spans="1:7" x14ac:dyDescent="0.25">
      <c r="A1393" s="4"/>
      <c r="G1393" s="3">
        <f t="shared" si="23"/>
        <v>0</v>
      </c>
    </row>
    <row r="1394" spans="1:7" x14ac:dyDescent="0.25">
      <c r="A1394" s="4"/>
      <c r="G1394" s="3">
        <f t="shared" si="23"/>
        <v>0</v>
      </c>
    </row>
    <row r="1395" spans="1:7" x14ac:dyDescent="0.25">
      <c r="A1395" s="4"/>
      <c r="G1395" s="3">
        <f t="shared" si="23"/>
        <v>0</v>
      </c>
    </row>
    <row r="1396" spans="1:7" x14ac:dyDescent="0.25">
      <c r="A1396" s="4"/>
      <c r="G1396" s="3">
        <f t="shared" si="23"/>
        <v>0</v>
      </c>
    </row>
    <row r="1397" spans="1:7" x14ac:dyDescent="0.25">
      <c r="A1397" s="4"/>
      <c r="G1397" s="3">
        <f t="shared" si="23"/>
        <v>0</v>
      </c>
    </row>
    <row r="1398" spans="1:7" x14ac:dyDescent="0.25">
      <c r="A1398" s="4"/>
      <c r="G1398" s="3">
        <f t="shared" si="23"/>
        <v>0</v>
      </c>
    </row>
    <row r="1399" spans="1:7" x14ac:dyDescent="0.25">
      <c r="A1399" s="4"/>
      <c r="G1399" s="3">
        <f t="shared" si="23"/>
        <v>0</v>
      </c>
    </row>
    <row r="1400" spans="1:7" x14ac:dyDescent="0.25">
      <c r="A1400" s="4"/>
      <c r="G1400" s="3">
        <f t="shared" si="23"/>
        <v>0</v>
      </c>
    </row>
    <row r="1401" spans="1:7" x14ac:dyDescent="0.25">
      <c r="A1401" s="4"/>
      <c r="G1401" s="3">
        <f t="shared" si="23"/>
        <v>0</v>
      </c>
    </row>
    <row r="1402" spans="1:7" x14ac:dyDescent="0.25">
      <c r="A1402" s="4"/>
      <c r="G1402" s="3">
        <f t="shared" si="23"/>
        <v>0</v>
      </c>
    </row>
    <row r="1403" spans="1:7" x14ac:dyDescent="0.25">
      <c r="A1403" s="4"/>
      <c r="G1403" s="3">
        <f t="shared" si="23"/>
        <v>0</v>
      </c>
    </row>
    <row r="1404" spans="1:7" x14ac:dyDescent="0.25">
      <c r="A1404" s="4"/>
      <c r="G1404" s="3">
        <f t="shared" si="23"/>
        <v>0</v>
      </c>
    </row>
    <row r="1405" spans="1:7" x14ac:dyDescent="0.25">
      <c r="A1405" s="4"/>
      <c r="G1405" s="3">
        <f t="shared" si="23"/>
        <v>0</v>
      </c>
    </row>
    <row r="1406" spans="1:7" x14ac:dyDescent="0.25">
      <c r="A1406" s="4"/>
      <c r="G1406" s="3">
        <f t="shared" si="23"/>
        <v>0</v>
      </c>
    </row>
    <row r="1407" spans="1:7" x14ac:dyDescent="0.25">
      <c r="A1407" s="4"/>
      <c r="G1407" s="3">
        <f t="shared" si="23"/>
        <v>0</v>
      </c>
    </row>
    <row r="1408" spans="1:7" x14ac:dyDescent="0.25">
      <c r="A1408" s="4"/>
      <c r="G1408" s="3">
        <f t="shared" si="23"/>
        <v>0</v>
      </c>
    </row>
    <row r="1409" spans="1:7" x14ac:dyDescent="0.25">
      <c r="A1409" s="4"/>
      <c r="G1409" s="3">
        <f t="shared" si="23"/>
        <v>0</v>
      </c>
    </row>
    <row r="1410" spans="1:7" x14ac:dyDescent="0.25">
      <c r="A1410" s="4"/>
      <c r="G1410" s="3">
        <f t="shared" si="23"/>
        <v>0</v>
      </c>
    </row>
    <row r="1411" spans="1:7" x14ac:dyDescent="0.25">
      <c r="A1411" s="4"/>
      <c r="G1411" s="3">
        <f t="shared" si="23"/>
        <v>0</v>
      </c>
    </row>
    <row r="1412" spans="1:7" x14ac:dyDescent="0.25">
      <c r="A1412" s="4"/>
      <c r="G1412" s="3">
        <f t="shared" si="23"/>
        <v>0</v>
      </c>
    </row>
    <row r="1413" spans="1:7" x14ac:dyDescent="0.25">
      <c r="A1413" s="4"/>
      <c r="G1413" s="3">
        <f t="shared" si="23"/>
        <v>0</v>
      </c>
    </row>
    <row r="1414" spans="1:7" x14ac:dyDescent="0.25">
      <c r="A1414" s="4"/>
      <c r="G1414" s="3">
        <f t="shared" si="23"/>
        <v>0</v>
      </c>
    </row>
    <row r="1415" spans="1:7" x14ac:dyDescent="0.25">
      <c r="A1415" s="4"/>
      <c r="G1415" s="3">
        <f t="shared" si="23"/>
        <v>0</v>
      </c>
    </row>
    <row r="1416" spans="1:7" x14ac:dyDescent="0.25">
      <c r="A1416" s="4"/>
      <c r="G1416" s="3">
        <f t="shared" si="23"/>
        <v>0</v>
      </c>
    </row>
    <row r="1417" spans="1:7" x14ac:dyDescent="0.25">
      <c r="A1417" s="4"/>
      <c r="G1417" s="3">
        <f t="shared" si="23"/>
        <v>0</v>
      </c>
    </row>
    <row r="1418" spans="1:7" x14ac:dyDescent="0.25">
      <c r="A1418" s="4"/>
      <c r="G1418" s="3">
        <f t="shared" si="23"/>
        <v>0</v>
      </c>
    </row>
    <row r="1419" spans="1:7" x14ac:dyDescent="0.25">
      <c r="A1419" s="4"/>
      <c r="G1419" s="3">
        <f t="shared" si="23"/>
        <v>0</v>
      </c>
    </row>
    <row r="1420" spans="1:7" x14ac:dyDescent="0.25">
      <c r="A1420" s="4"/>
      <c r="G1420" s="3">
        <f t="shared" si="23"/>
        <v>0</v>
      </c>
    </row>
    <row r="1421" spans="1:7" x14ac:dyDescent="0.25">
      <c r="A1421" s="4"/>
      <c r="G1421" s="3">
        <f t="shared" si="23"/>
        <v>0</v>
      </c>
    </row>
    <row r="1422" spans="1:7" x14ac:dyDescent="0.25">
      <c r="A1422" s="4"/>
      <c r="G1422" s="3">
        <f t="shared" si="23"/>
        <v>0</v>
      </c>
    </row>
    <row r="1423" spans="1:7" x14ac:dyDescent="0.25">
      <c r="A1423" s="4"/>
      <c r="G1423" s="3">
        <f t="shared" si="23"/>
        <v>0</v>
      </c>
    </row>
    <row r="1424" spans="1:7" x14ac:dyDescent="0.25">
      <c r="A1424" s="4"/>
      <c r="G1424" s="3">
        <f t="shared" si="23"/>
        <v>0</v>
      </c>
    </row>
    <row r="1425" spans="1:7" x14ac:dyDescent="0.25">
      <c r="A1425" s="4"/>
      <c r="G1425" s="3">
        <f t="shared" si="23"/>
        <v>0</v>
      </c>
    </row>
    <row r="1426" spans="1:7" x14ac:dyDescent="0.25">
      <c r="A1426" s="4"/>
      <c r="G1426" s="3">
        <f t="shared" si="23"/>
        <v>0</v>
      </c>
    </row>
    <row r="1427" spans="1:7" x14ac:dyDescent="0.25">
      <c r="A1427" s="4"/>
      <c r="G1427" s="3">
        <f t="shared" si="23"/>
        <v>0</v>
      </c>
    </row>
    <row r="1428" spans="1:7" x14ac:dyDescent="0.25">
      <c r="A1428" s="4"/>
      <c r="G1428" s="3">
        <f t="shared" si="23"/>
        <v>0</v>
      </c>
    </row>
    <row r="1429" spans="1:7" x14ac:dyDescent="0.25">
      <c r="A1429" s="4"/>
      <c r="G1429" s="3">
        <f t="shared" si="23"/>
        <v>0</v>
      </c>
    </row>
    <row r="1430" spans="1:7" x14ac:dyDescent="0.25">
      <c r="A1430" s="4"/>
      <c r="G1430" s="3">
        <f t="shared" si="23"/>
        <v>0</v>
      </c>
    </row>
    <row r="1431" spans="1:7" x14ac:dyDescent="0.25">
      <c r="A1431" s="4"/>
      <c r="G1431" s="3">
        <f t="shared" si="23"/>
        <v>0</v>
      </c>
    </row>
    <row r="1432" spans="1:7" x14ac:dyDescent="0.25">
      <c r="A1432" s="4"/>
      <c r="G1432" s="3">
        <f t="shared" si="23"/>
        <v>0</v>
      </c>
    </row>
    <row r="1433" spans="1:7" x14ac:dyDescent="0.25">
      <c r="A1433" s="4"/>
      <c r="G1433" s="3">
        <f t="shared" si="23"/>
        <v>0</v>
      </c>
    </row>
    <row r="1434" spans="1:7" x14ac:dyDescent="0.25">
      <c r="A1434" s="4"/>
      <c r="G1434" s="3">
        <f t="shared" si="23"/>
        <v>0</v>
      </c>
    </row>
    <row r="1435" spans="1:7" x14ac:dyDescent="0.25">
      <c r="A1435" s="4"/>
      <c r="G1435" s="3">
        <f t="shared" si="23"/>
        <v>0</v>
      </c>
    </row>
    <row r="1436" spans="1:7" x14ac:dyDescent="0.25">
      <c r="A1436" s="4"/>
      <c r="G1436" s="3">
        <f t="shared" si="23"/>
        <v>0</v>
      </c>
    </row>
    <row r="1437" spans="1:7" x14ac:dyDescent="0.25">
      <c r="A1437" s="4"/>
      <c r="G1437" s="3">
        <f t="shared" si="23"/>
        <v>0</v>
      </c>
    </row>
    <row r="1438" spans="1:7" x14ac:dyDescent="0.25">
      <c r="A1438" s="4"/>
      <c r="G1438" s="3">
        <f t="shared" si="23"/>
        <v>0</v>
      </c>
    </row>
    <row r="1439" spans="1:7" x14ac:dyDescent="0.25">
      <c r="A1439" s="4"/>
      <c r="G1439" s="3">
        <f t="shared" si="23"/>
        <v>0</v>
      </c>
    </row>
    <row r="1440" spans="1:7" x14ac:dyDescent="0.25">
      <c r="A1440" s="4"/>
      <c r="G1440" s="3">
        <f t="shared" si="23"/>
        <v>0</v>
      </c>
    </row>
    <row r="1441" spans="1:7" x14ac:dyDescent="0.25">
      <c r="A1441" s="4"/>
      <c r="G1441" s="3">
        <f t="shared" si="23"/>
        <v>0</v>
      </c>
    </row>
    <row r="1442" spans="1:7" x14ac:dyDescent="0.25">
      <c r="A1442" s="4"/>
      <c r="G1442" s="3">
        <f t="shared" si="23"/>
        <v>0</v>
      </c>
    </row>
    <row r="1443" spans="1:7" x14ac:dyDescent="0.25">
      <c r="A1443" s="4"/>
      <c r="G1443" s="3">
        <f t="shared" si="23"/>
        <v>0</v>
      </c>
    </row>
    <row r="1444" spans="1:7" x14ac:dyDescent="0.25">
      <c r="A1444" s="4"/>
      <c r="G1444" s="3">
        <f t="shared" si="23"/>
        <v>0</v>
      </c>
    </row>
    <row r="1445" spans="1:7" x14ac:dyDescent="0.25">
      <c r="A1445" s="4"/>
      <c r="G1445" s="3">
        <f t="shared" si="23"/>
        <v>0</v>
      </c>
    </row>
    <row r="1446" spans="1:7" x14ac:dyDescent="0.25">
      <c r="A1446" s="4"/>
      <c r="G1446" s="3">
        <f t="shared" si="23"/>
        <v>0</v>
      </c>
    </row>
    <row r="1447" spans="1:7" x14ac:dyDescent="0.25">
      <c r="A1447" s="4"/>
      <c r="G1447" s="3">
        <f t="shared" si="23"/>
        <v>0</v>
      </c>
    </row>
    <row r="1448" spans="1:7" x14ac:dyDescent="0.25">
      <c r="A1448" s="4"/>
      <c r="G1448" s="3">
        <f t="shared" si="23"/>
        <v>0</v>
      </c>
    </row>
    <row r="1449" spans="1:7" x14ac:dyDescent="0.25">
      <c r="A1449" s="4"/>
      <c r="G1449" s="3">
        <f t="shared" si="23"/>
        <v>0</v>
      </c>
    </row>
    <row r="1450" spans="1:7" x14ac:dyDescent="0.25">
      <c r="A1450" s="4"/>
      <c r="G1450" s="3">
        <f t="shared" si="23"/>
        <v>0</v>
      </c>
    </row>
    <row r="1451" spans="1:7" x14ac:dyDescent="0.25">
      <c r="A1451" s="4"/>
      <c r="G1451" s="3">
        <f t="shared" si="23"/>
        <v>0</v>
      </c>
    </row>
    <row r="1452" spans="1:7" x14ac:dyDescent="0.25">
      <c r="A1452" s="4"/>
      <c r="G1452" s="3">
        <f t="shared" ref="G1452:G1515" si="24">D1452+E1452-F1452</f>
        <v>0</v>
      </c>
    </row>
    <row r="1453" spans="1:7" x14ac:dyDescent="0.25">
      <c r="A1453" s="4"/>
      <c r="G1453" s="3">
        <f t="shared" si="24"/>
        <v>0</v>
      </c>
    </row>
    <row r="1454" spans="1:7" x14ac:dyDescent="0.25">
      <c r="A1454" s="4"/>
      <c r="G1454" s="3">
        <f t="shared" si="24"/>
        <v>0</v>
      </c>
    </row>
    <row r="1455" spans="1:7" x14ac:dyDescent="0.25">
      <c r="A1455" s="4"/>
      <c r="G1455" s="3">
        <f t="shared" si="24"/>
        <v>0</v>
      </c>
    </row>
    <row r="1456" spans="1:7" x14ac:dyDescent="0.25">
      <c r="A1456" s="4"/>
      <c r="G1456" s="3">
        <f t="shared" si="24"/>
        <v>0</v>
      </c>
    </row>
    <row r="1457" spans="1:7" x14ac:dyDescent="0.25">
      <c r="A1457" s="4"/>
      <c r="G1457" s="3">
        <f t="shared" si="24"/>
        <v>0</v>
      </c>
    </row>
    <row r="1458" spans="1:7" x14ac:dyDescent="0.25">
      <c r="A1458" s="4"/>
      <c r="G1458" s="3">
        <f t="shared" si="24"/>
        <v>0</v>
      </c>
    </row>
    <row r="1459" spans="1:7" x14ac:dyDescent="0.25">
      <c r="A1459" s="4"/>
      <c r="G1459" s="3">
        <f t="shared" si="24"/>
        <v>0</v>
      </c>
    </row>
    <row r="1460" spans="1:7" x14ac:dyDescent="0.25">
      <c r="A1460" s="4"/>
      <c r="G1460" s="3">
        <f t="shared" si="24"/>
        <v>0</v>
      </c>
    </row>
    <row r="1461" spans="1:7" x14ac:dyDescent="0.25">
      <c r="A1461" s="4"/>
      <c r="G1461" s="3">
        <f t="shared" si="24"/>
        <v>0</v>
      </c>
    </row>
    <row r="1462" spans="1:7" x14ac:dyDescent="0.25">
      <c r="A1462" s="4"/>
      <c r="G1462" s="3">
        <f t="shared" si="24"/>
        <v>0</v>
      </c>
    </row>
    <row r="1463" spans="1:7" x14ac:dyDescent="0.25">
      <c r="A1463" s="4"/>
      <c r="G1463" s="3">
        <f t="shared" si="24"/>
        <v>0</v>
      </c>
    </row>
    <row r="1464" spans="1:7" x14ac:dyDescent="0.25">
      <c r="A1464" s="4"/>
      <c r="G1464" s="3">
        <f t="shared" si="24"/>
        <v>0</v>
      </c>
    </row>
    <row r="1465" spans="1:7" x14ac:dyDescent="0.25">
      <c r="A1465" s="4"/>
      <c r="G1465" s="3">
        <f t="shared" si="24"/>
        <v>0</v>
      </c>
    </row>
    <row r="1466" spans="1:7" x14ac:dyDescent="0.25">
      <c r="A1466" s="4"/>
      <c r="G1466" s="3">
        <f t="shared" si="24"/>
        <v>0</v>
      </c>
    </row>
    <row r="1467" spans="1:7" x14ac:dyDescent="0.25">
      <c r="A1467" s="4"/>
      <c r="G1467" s="3">
        <f t="shared" si="24"/>
        <v>0</v>
      </c>
    </row>
    <row r="1468" spans="1:7" x14ac:dyDescent="0.25">
      <c r="A1468" s="4"/>
      <c r="G1468" s="3">
        <f t="shared" si="24"/>
        <v>0</v>
      </c>
    </row>
    <row r="1469" spans="1:7" x14ac:dyDescent="0.25">
      <c r="A1469" s="4"/>
      <c r="G1469" s="3">
        <f t="shared" si="24"/>
        <v>0</v>
      </c>
    </row>
    <row r="1470" spans="1:7" x14ac:dyDescent="0.25">
      <c r="A1470" s="4"/>
      <c r="G1470" s="3">
        <f t="shared" si="24"/>
        <v>0</v>
      </c>
    </row>
    <row r="1471" spans="1:7" x14ac:dyDescent="0.25">
      <c r="A1471" s="4"/>
      <c r="G1471" s="3">
        <f t="shared" si="24"/>
        <v>0</v>
      </c>
    </row>
    <row r="1472" spans="1:7" x14ac:dyDescent="0.25">
      <c r="A1472" s="4"/>
      <c r="G1472" s="3">
        <f t="shared" si="24"/>
        <v>0</v>
      </c>
    </row>
    <row r="1473" spans="1:7" x14ac:dyDescent="0.25">
      <c r="A1473" s="4"/>
      <c r="G1473" s="3">
        <f t="shared" si="24"/>
        <v>0</v>
      </c>
    </row>
    <row r="1474" spans="1:7" x14ac:dyDescent="0.25">
      <c r="A1474" s="4"/>
      <c r="G1474" s="3">
        <f t="shared" si="24"/>
        <v>0</v>
      </c>
    </row>
    <row r="1475" spans="1:7" x14ac:dyDescent="0.25">
      <c r="A1475" s="4"/>
      <c r="G1475" s="3">
        <f t="shared" si="24"/>
        <v>0</v>
      </c>
    </row>
    <row r="1476" spans="1:7" x14ac:dyDescent="0.25">
      <c r="A1476" s="4"/>
      <c r="G1476" s="3">
        <f t="shared" si="24"/>
        <v>0</v>
      </c>
    </row>
    <row r="1477" spans="1:7" x14ac:dyDescent="0.25">
      <c r="A1477" s="4"/>
      <c r="G1477" s="3">
        <f t="shared" si="24"/>
        <v>0</v>
      </c>
    </row>
    <row r="1478" spans="1:7" x14ac:dyDescent="0.25">
      <c r="A1478" s="4"/>
      <c r="G1478" s="3">
        <f t="shared" si="24"/>
        <v>0</v>
      </c>
    </row>
    <row r="1479" spans="1:7" x14ac:dyDescent="0.25">
      <c r="A1479" s="4"/>
      <c r="G1479" s="3">
        <f t="shared" si="24"/>
        <v>0</v>
      </c>
    </row>
    <row r="1480" spans="1:7" x14ac:dyDescent="0.25">
      <c r="A1480" s="4"/>
      <c r="G1480" s="3">
        <f t="shared" si="24"/>
        <v>0</v>
      </c>
    </row>
    <row r="1481" spans="1:7" x14ac:dyDescent="0.25">
      <c r="A1481" s="4"/>
      <c r="G1481" s="3">
        <f t="shared" si="24"/>
        <v>0</v>
      </c>
    </row>
    <row r="1482" spans="1:7" x14ac:dyDescent="0.25">
      <c r="A1482" s="4"/>
      <c r="G1482" s="3">
        <f t="shared" si="24"/>
        <v>0</v>
      </c>
    </row>
    <row r="1483" spans="1:7" x14ac:dyDescent="0.25">
      <c r="A1483" s="4"/>
      <c r="G1483" s="3">
        <f t="shared" si="24"/>
        <v>0</v>
      </c>
    </row>
    <row r="1484" spans="1:7" x14ac:dyDescent="0.25">
      <c r="A1484" s="4"/>
      <c r="G1484" s="3">
        <f t="shared" si="24"/>
        <v>0</v>
      </c>
    </row>
    <row r="1485" spans="1:7" x14ac:dyDescent="0.25">
      <c r="A1485" s="4"/>
      <c r="G1485" s="3">
        <f t="shared" si="24"/>
        <v>0</v>
      </c>
    </row>
    <row r="1486" spans="1:7" x14ac:dyDescent="0.25">
      <c r="A1486" s="4"/>
      <c r="G1486" s="3">
        <f t="shared" si="24"/>
        <v>0</v>
      </c>
    </row>
    <row r="1487" spans="1:7" x14ac:dyDescent="0.25">
      <c r="A1487" s="4"/>
      <c r="G1487" s="3">
        <f t="shared" si="24"/>
        <v>0</v>
      </c>
    </row>
    <row r="1488" spans="1:7" x14ac:dyDescent="0.25">
      <c r="A1488" s="4"/>
      <c r="G1488" s="3">
        <f t="shared" si="24"/>
        <v>0</v>
      </c>
    </row>
    <row r="1489" spans="1:7" x14ac:dyDescent="0.25">
      <c r="A1489" s="4"/>
      <c r="G1489" s="3">
        <f t="shared" si="24"/>
        <v>0</v>
      </c>
    </row>
    <row r="1490" spans="1:7" x14ac:dyDescent="0.25">
      <c r="A1490" s="4"/>
      <c r="G1490" s="3">
        <f t="shared" si="24"/>
        <v>0</v>
      </c>
    </row>
    <row r="1491" spans="1:7" x14ac:dyDescent="0.25">
      <c r="A1491" s="4"/>
      <c r="G1491" s="3">
        <f t="shared" si="24"/>
        <v>0</v>
      </c>
    </row>
    <row r="1492" spans="1:7" x14ac:dyDescent="0.25">
      <c r="A1492" s="4"/>
      <c r="G1492" s="3">
        <f t="shared" si="24"/>
        <v>0</v>
      </c>
    </row>
    <row r="1493" spans="1:7" x14ac:dyDescent="0.25">
      <c r="A1493" s="4"/>
      <c r="G1493" s="3">
        <f t="shared" si="24"/>
        <v>0</v>
      </c>
    </row>
    <row r="1494" spans="1:7" x14ac:dyDescent="0.25">
      <c r="A1494" s="4"/>
      <c r="G1494" s="3">
        <f t="shared" si="24"/>
        <v>0</v>
      </c>
    </row>
    <row r="1495" spans="1:7" x14ac:dyDescent="0.25">
      <c r="A1495" s="4"/>
      <c r="G1495" s="3">
        <f t="shared" si="24"/>
        <v>0</v>
      </c>
    </row>
    <row r="1496" spans="1:7" x14ac:dyDescent="0.25">
      <c r="A1496" s="4"/>
      <c r="G1496" s="3">
        <f t="shared" si="24"/>
        <v>0</v>
      </c>
    </row>
    <row r="1497" spans="1:7" x14ac:dyDescent="0.25">
      <c r="A1497" s="4"/>
      <c r="G1497" s="3">
        <f t="shared" si="24"/>
        <v>0</v>
      </c>
    </row>
    <row r="1498" spans="1:7" x14ac:dyDescent="0.25">
      <c r="A1498" s="4"/>
      <c r="G1498" s="3">
        <f t="shared" si="24"/>
        <v>0</v>
      </c>
    </row>
    <row r="1499" spans="1:7" x14ac:dyDescent="0.25">
      <c r="A1499" s="4"/>
      <c r="G1499" s="3">
        <f t="shared" si="24"/>
        <v>0</v>
      </c>
    </row>
    <row r="1500" spans="1:7" x14ac:dyDescent="0.25">
      <c r="A1500" s="4"/>
      <c r="G1500" s="3">
        <f t="shared" si="24"/>
        <v>0</v>
      </c>
    </row>
    <row r="1501" spans="1:7" x14ac:dyDescent="0.25">
      <c r="A1501" s="4"/>
      <c r="G1501" s="3">
        <f t="shared" si="24"/>
        <v>0</v>
      </c>
    </row>
    <row r="1502" spans="1:7" x14ac:dyDescent="0.25">
      <c r="A1502" s="4"/>
      <c r="G1502" s="3">
        <f t="shared" si="24"/>
        <v>0</v>
      </c>
    </row>
    <row r="1503" spans="1:7" x14ac:dyDescent="0.25">
      <c r="A1503" s="4"/>
      <c r="G1503" s="3">
        <f t="shared" si="24"/>
        <v>0</v>
      </c>
    </row>
    <row r="1504" spans="1:7" x14ac:dyDescent="0.25">
      <c r="A1504" s="4"/>
      <c r="G1504" s="3">
        <f t="shared" si="24"/>
        <v>0</v>
      </c>
    </row>
    <row r="1505" spans="1:7" x14ac:dyDescent="0.25">
      <c r="A1505" s="4"/>
      <c r="G1505" s="3">
        <f t="shared" si="24"/>
        <v>0</v>
      </c>
    </row>
    <row r="1506" spans="1:7" x14ac:dyDescent="0.25">
      <c r="A1506" s="4"/>
      <c r="G1506" s="3">
        <f t="shared" si="24"/>
        <v>0</v>
      </c>
    </row>
    <row r="1507" spans="1:7" x14ac:dyDescent="0.25">
      <c r="A1507" s="4"/>
      <c r="G1507" s="3">
        <f t="shared" si="24"/>
        <v>0</v>
      </c>
    </row>
    <row r="1508" spans="1:7" x14ac:dyDescent="0.25">
      <c r="A1508" s="4"/>
      <c r="G1508" s="3">
        <f t="shared" si="24"/>
        <v>0</v>
      </c>
    </row>
    <row r="1509" spans="1:7" x14ac:dyDescent="0.25">
      <c r="A1509" s="4"/>
      <c r="G1509" s="3">
        <f t="shared" si="24"/>
        <v>0</v>
      </c>
    </row>
    <row r="1510" spans="1:7" x14ac:dyDescent="0.25">
      <c r="A1510" s="4"/>
      <c r="G1510" s="3">
        <f t="shared" si="24"/>
        <v>0</v>
      </c>
    </row>
    <row r="1511" spans="1:7" x14ac:dyDescent="0.25">
      <c r="A1511" s="4"/>
      <c r="G1511" s="3">
        <f t="shared" si="24"/>
        <v>0</v>
      </c>
    </row>
    <row r="1512" spans="1:7" x14ac:dyDescent="0.25">
      <c r="A1512" s="4"/>
      <c r="G1512" s="3">
        <f t="shared" si="24"/>
        <v>0</v>
      </c>
    </row>
    <row r="1513" spans="1:7" x14ac:dyDescent="0.25">
      <c r="A1513" s="4"/>
      <c r="G1513" s="3">
        <f t="shared" si="24"/>
        <v>0</v>
      </c>
    </row>
    <row r="1514" spans="1:7" x14ac:dyDescent="0.25">
      <c r="A1514" s="4"/>
      <c r="G1514" s="3">
        <f t="shared" si="24"/>
        <v>0</v>
      </c>
    </row>
    <row r="1515" spans="1:7" x14ac:dyDescent="0.25">
      <c r="A1515" s="4"/>
      <c r="G1515" s="3">
        <f t="shared" si="24"/>
        <v>0</v>
      </c>
    </row>
    <row r="1516" spans="1:7" x14ac:dyDescent="0.25">
      <c r="A1516" s="4"/>
      <c r="G1516" s="3">
        <f t="shared" ref="G1516:G1579" si="25">D1516+E1516-F1516</f>
        <v>0</v>
      </c>
    </row>
    <row r="1517" spans="1:7" x14ac:dyDescent="0.25">
      <c r="A1517" s="4"/>
      <c r="G1517" s="3">
        <f t="shared" si="25"/>
        <v>0</v>
      </c>
    </row>
    <row r="1518" spans="1:7" x14ac:dyDescent="0.25">
      <c r="A1518" s="4"/>
      <c r="G1518" s="3">
        <f t="shared" si="25"/>
        <v>0</v>
      </c>
    </row>
    <row r="1519" spans="1:7" x14ac:dyDescent="0.25">
      <c r="A1519" s="4"/>
      <c r="G1519" s="3">
        <f t="shared" si="25"/>
        <v>0</v>
      </c>
    </row>
    <row r="1520" spans="1:7" x14ac:dyDescent="0.25">
      <c r="A1520" s="4"/>
      <c r="G1520" s="3">
        <f t="shared" si="25"/>
        <v>0</v>
      </c>
    </row>
    <row r="1521" spans="1:7" x14ac:dyDescent="0.25">
      <c r="A1521" s="4"/>
      <c r="G1521" s="3">
        <f t="shared" si="25"/>
        <v>0</v>
      </c>
    </row>
    <row r="1522" spans="1:7" x14ac:dyDescent="0.25">
      <c r="A1522" s="4"/>
      <c r="G1522" s="3">
        <f t="shared" si="25"/>
        <v>0</v>
      </c>
    </row>
    <row r="1523" spans="1:7" x14ac:dyDescent="0.25">
      <c r="A1523" s="4"/>
      <c r="G1523" s="3">
        <f t="shared" si="25"/>
        <v>0</v>
      </c>
    </row>
    <row r="1524" spans="1:7" x14ac:dyDescent="0.25">
      <c r="A1524" s="4"/>
      <c r="G1524" s="3">
        <f t="shared" si="25"/>
        <v>0</v>
      </c>
    </row>
    <row r="1525" spans="1:7" x14ac:dyDescent="0.25">
      <c r="A1525" s="4"/>
      <c r="G1525" s="3">
        <f t="shared" si="25"/>
        <v>0</v>
      </c>
    </row>
    <row r="1526" spans="1:7" x14ac:dyDescent="0.25">
      <c r="A1526" s="4"/>
      <c r="G1526" s="3">
        <f t="shared" si="25"/>
        <v>0</v>
      </c>
    </row>
    <row r="1527" spans="1:7" x14ac:dyDescent="0.25">
      <c r="A1527" s="4"/>
      <c r="G1527" s="3">
        <f t="shared" si="25"/>
        <v>0</v>
      </c>
    </row>
    <row r="1528" spans="1:7" x14ac:dyDescent="0.25">
      <c r="A1528" s="4"/>
      <c r="G1528" s="3">
        <f t="shared" si="25"/>
        <v>0</v>
      </c>
    </row>
    <row r="1529" spans="1:7" x14ac:dyDescent="0.25">
      <c r="A1529" s="4"/>
      <c r="G1529" s="3">
        <f t="shared" si="25"/>
        <v>0</v>
      </c>
    </row>
    <row r="1530" spans="1:7" x14ac:dyDescent="0.25">
      <c r="A1530" s="4"/>
      <c r="G1530" s="3">
        <f t="shared" si="25"/>
        <v>0</v>
      </c>
    </row>
    <row r="1531" spans="1:7" x14ac:dyDescent="0.25">
      <c r="A1531" s="4"/>
      <c r="G1531" s="3">
        <f t="shared" si="25"/>
        <v>0</v>
      </c>
    </row>
    <row r="1532" spans="1:7" x14ac:dyDescent="0.25">
      <c r="A1532" s="4"/>
      <c r="G1532" s="3">
        <f t="shared" si="25"/>
        <v>0</v>
      </c>
    </row>
    <row r="1533" spans="1:7" x14ac:dyDescent="0.25">
      <c r="A1533" s="4"/>
      <c r="G1533" s="3">
        <f t="shared" si="25"/>
        <v>0</v>
      </c>
    </row>
    <row r="1534" spans="1:7" x14ac:dyDescent="0.25">
      <c r="A1534" s="4"/>
      <c r="G1534" s="3">
        <f t="shared" si="25"/>
        <v>0</v>
      </c>
    </row>
    <row r="1535" spans="1:7" x14ac:dyDescent="0.25">
      <c r="A1535" s="4"/>
      <c r="G1535" s="3">
        <f t="shared" si="25"/>
        <v>0</v>
      </c>
    </row>
    <row r="1536" spans="1:7" x14ac:dyDescent="0.25">
      <c r="A1536" s="4"/>
      <c r="G1536" s="3">
        <f t="shared" si="25"/>
        <v>0</v>
      </c>
    </row>
    <row r="1537" spans="1:7" x14ac:dyDescent="0.25">
      <c r="A1537" s="4"/>
      <c r="G1537" s="3">
        <f t="shared" si="25"/>
        <v>0</v>
      </c>
    </row>
    <row r="1538" spans="1:7" x14ac:dyDescent="0.25">
      <c r="A1538" s="4"/>
      <c r="G1538" s="3">
        <f t="shared" si="25"/>
        <v>0</v>
      </c>
    </row>
    <row r="1539" spans="1:7" x14ac:dyDescent="0.25">
      <c r="A1539" s="4"/>
      <c r="G1539" s="3">
        <f t="shared" si="25"/>
        <v>0</v>
      </c>
    </row>
    <row r="1540" spans="1:7" x14ac:dyDescent="0.25">
      <c r="A1540" s="4"/>
      <c r="G1540" s="3">
        <f t="shared" si="25"/>
        <v>0</v>
      </c>
    </row>
    <row r="1541" spans="1:7" x14ac:dyDescent="0.25">
      <c r="A1541" s="4"/>
      <c r="G1541" s="3">
        <f t="shared" si="25"/>
        <v>0</v>
      </c>
    </row>
    <row r="1542" spans="1:7" x14ac:dyDescent="0.25">
      <c r="A1542" s="4"/>
      <c r="G1542" s="3">
        <f t="shared" si="25"/>
        <v>0</v>
      </c>
    </row>
    <row r="1543" spans="1:7" x14ac:dyDescent="0.25">
      <c r="A1543" s="4"/>
      <c r="G1543" s="3">
        <f t="shared" si="25"/>
        <v>0</v>
      </c>
    </row>
    <row r="1544" spans="1:7" x14ac:dyDescent="0.25">
      <c r="A1544" s="4"/>
      <c r="G1544" s="3">
        <f t="shared" si="25"/>
        <v>0</v>
      </c>
    </row>
    <row r="1545" spans="1:7" x14ac:dyDescent="0.25">
      <c r="A1545" s="4"/>
      <c r="G1545" s="3">
        <f t="shared" si="25"/>
        <v>0</v>
      </c>
    </row>
    <row r="1546" spans="1:7" x14ac:dyDescent="0.25">
      <c r="A1546" s="4"/>
      <c r="G1546" s="3">
        <f t="shared" si="25"/>
        <v>0</v>
      </c>
    </row>
    <row r="1547" spans="1:7" x14ac:dyDescent="0.25">
      <c r="A1547" s="4"/>
      <c r="G1547" s="3">
        <f t="shared" si="25"/>
        <v>0</v>
      </c>
    </row>
    <row r="1548" spans="1:7" x14ac:dyDescent="0.25">
      <c r="A1548" s="4"/>
      <c r="G1548" s="3">
        <f t="shared" si="25"/>
        <v>0</v>
      </c>
    </row>
    <row r="1549" spans="1:7" x14ac:dyDescent="0.25">
      <c r="A1549" s="4"/>
      <c r="G1549" s="3">
        <f t="shared" si="25"/>
        <v>0</v>
      </c>
    </row>
    <row r="1550" spans="1:7" x14ac:dyDescent="0.25">
      <c r="A1550" s="4"/>
      <c r="G1550" s="3">
        <f t="shared" si="25"/>
        <v>0</v>
      </c>
    </row>
    <row r="1551" spans="1:7" x14ac:dyDescent="0.25">
      <c r="A1551" s="4"/>
      <c r="G1551" s="3">
        <f t="shared" si="25"/>
        <v>0</v>
      </c>
    </row>
    <row r="1552" spans="1:7" x14ac:dyDescent="0.25">
      <c r="A1552" s="4"/>
      <c r="G1552" s="3">
        <f t="shared" si="25"/>
        <v>0</v>
      </c>
    </row>
    <row r="1553" spans="1:7" x14ac:dyDescent="0.25">
      <c r="A1553" s="4"/>
      <c r="G1553" s="3">
        <f t="shared" si="25"/>
        <v>0</v>
      </c>
    </row>
    <row r="1554" spans="1:7" x14ac:dyDescent="0.25">
      <c r="A1554" s="4"/>
      <c r="G1554" s="3">
        <f t="shared" si="25"/>
        <v>0</v>
      </c>
    </row>
    <row r="1555" spans="1:7" x14ac:dyDescent="0.25">
      <c r="A1555" s="4"/>
      <c r="G1555" s="3">
        <f t="shared" si="25"/>
        <v>0</v>
      </c>
    </row>
    <row r="1556" spans="1:7" x14ac:dyDescent="0.25">
      <c r="A1556" s="4"/>
      <c r="G1556" s="3">
        <f t="shared" si="25"/>
        <v>0</v>
      </c>
    </row>
    <row r="1557" spans="1:7" x14ac:dyDescent="0.25">
      <c r="A1557" s="4"/>
      <c r="G1557" s="3">
        <f t="shared" si="25"/>
        <v>0</v>
      </c>
    </row>
    <row r="1558" spans="1:7" x14ac:dyDescent="0.25">
      <c r="A1558" s="4"/>
      <c r="G1558" s="3">
        <f t="shared" si="25"/>
        <v>0</v>
      </c>
    </row>
    <row r="1559" spans="1:7" x14ac:dyDescent="0.25">
      <c r="A1559" s="4"/>
      <c r="G1559" s="3">
        <f t="shared" si="25"/>
        <v>0</v>
      </c>
    </row>
    <row r="1560" spans="1:7" x14ac:dyDescent="0.25">
      <c r="A1560" s="4"/>
      <c r="G1560" s="3">
        <f t="shared" si="25"/>
        <v>0</v>
      </c>
    </row>
    <row r="1561" spans="1:7" x14ac:dyDescent="0.25">
      <c r="A1561" s="4"/>
      <c r="G1561" s="3">
        <f t="shared" si="25"/>
        <v>0</v>
      </c>
    </row>
    <row r="1562" spans="1:7" x14ac:dyDescent="0.25">
      <c r="A1562" s="4"/>
      <c r="G1562" s="3">
        <f t="shared" si="25"/>
        <v>0</v>
      </c>
    </row>
    <row r="1563" spans="1:7" x14ac:dyDescent="0.25">
      <c r="A1563" s="4"/>
      <c r="G1563" s="3">
        <f t="shared" si="25"/>
        <v>0</v>
      </c>
    </row>
    <row r="1564" spans="1:7" x14ac:dyDescent="0.25">
      <c r="A1564" s="4"/>
      <c r="G1564" s="3">
        <f t="shared" si="25"/>
        <v>0</v>
      </c>
    </row>
    <row r="1565" spans="1:7" x14ac:dyDescent="0.25">
      <c r="A1565" s="4"/>
      <c r="G1565" s="3">
        <f t="shared" si="25"/>
        <v>0</v>
      </c>
    </row>
    <row r="1566" spans="1:7" x14ac:dyDescent="0.25">
      <c r="A1566" s="4"/>
      <c r="G1566" s="3">
        <f t="shared" si="25"/>
        <v>0</v>
      </c>
    </row>
    <row r="1567" spans="1:7" x14ac:dyDescent="0.25">
      <c r="A1567" s="4"/>
      <c r="G1567" s="3">
        <f t="shared" si="25"/>
        <v>0</v>
      </c>
    </row>
    <row r="1568" spans="1:7" x14ac:dyDescent="0.25">
      <c r="A1568" s="4"/>
      <c r="G1568" s="3">
        <f t="shared" si="25"/>
        <v>0</v>
      </c>
    </row>
    <row r="1569" spans="1:7" x14ac:dyDescent="0.25">
      <c r="A1569" s="4"/>
      <c r="G1569" s="3">
        <f t="shared" si="25"/>
        <v>0</v>
      </c>
    </row>
    <row r="1570" spans="1:7" x14ac:dyDescent="0.25">
      <c r="A1570" s="4"/>
      <c r="G1570" s="3">
        <f t="shared" si="25"/>
        <v>0</v>
      </c>
    </row>
    <row r="1571" spans="1:7" x14ac:dyDescent="0.25">
      <c r="A1571" s="4"/>
      <c r="G1571" s="3">
        <f t="shared" si="25"/>
        <v>0</v>
      </c>
    </row>
    <row r="1572" spans="1:7" x14ac:dyDescent="0.25">
      <c r="A1572" s="4"/>
      <c r="G1572" s="3">
        <f t="shared" si="25"/>
        <v>0</v>
      </c>
    </row>
    <row r="1573" spans="1:7" x14ac:dyDescent="0.25">
      <c r="A1573" s="4"/>
      <c r="G1573" s="3">
        <f t="shared" si="25"/>
        <v>0</v>
      </c>
    </row>
    <row r="1574" spans="1:7" x14ac:dyDescent="0.25">
      <c r="A1574" s="4"/>
      <c r="G1574" s="3">
        <f t="shared" si="25"/>
        <v>0</v>
      </c>
    </row>
    <row r="1575" spans="1:7" x14ac:dyDescent="0.25">
      <c r="A1575" s="4"/>
      <c r="G1575" s="3">
        <f t="shared" si="25"/>
        <v>0</v>
      </c>
    </row>
    <row r="1576" spans="1:7" x14ac:dyDescent="0.25">
      <c r="A1576" s="4"/>
      <c r="G1576" s="3">
        <f t="shared" si="25"/>
        <v>0</v>
      </c>
    </row>
    <row r="1577" spans="1:7" x14ac:dyDescent="0.25">
      <c r="A1577" s="4"/>
      <c r="G1577" s="3">
        <f t="shared" si="25"/>
        <v>0</v>
      </c>
    </row>
    <row r="1578" spans="1:7" x14ac:dyDescent="0.25">
      <c r="A1578" s="4"/>
      <c r="G1578" s="3">
        <f t="shared" si="25"/>
        <v>0</v>
      </c>
    </row>
    <row r="1579" spans="1:7" x14ac:dyDescent="0.25">
      <c r="A1579" s="4"/>
      <c r="G1579" s="3">
        <f t="shared" si="25"/>
        <v>0</v>
      </c>
    </row>
    <row r="1580" spans="1:7" x14ac:dyDescent="0.25">
      <c r="A1580" s="4"/>
      <c r="G1580" s="3">
        <f t="shared" ref="G1580:G1643" si="26">D1580+E1580-F1580</f>
        <v>0</v>
      </c>
    </row>
    <row r="1581" spans="1:7" x14ac:dyDescent="0.25">
      <c r="A1581" s="4"/>
      <c r="G1581" s="3">
        <f t="shared" si="26"/>
        <v>0</v>
      </c>
    </row>
    <row r="1582" spans="1:7" x14ac:dyDescent="0.25">
      <c r="A1582" s="4"/>
      <c r="G1582" s="3">
        <f t="shared" si="26"/>
        <v>0</v>
      </c>
    </row>
    <row r="1583" spans="1:7" x14ac:dyDescent="0.25">
      <c r="A1583" s="4"/>
      <c r="G1583" s="3">
        <f t="shared" si="26"/>
        <v>0</v>
      </c>
    </row>
    <row r="1584" spans="1:7" x14ac:dyDescent="0.25">
      <c r="A1584" s="4"/>
      <c r="G1584" s="3">
        <f t="shared" si="26"/>
        <v>0</v>
      </c>
    </row>
    <row r="1585" spans="1:7" x14ac:dyDescent="0.25">
      <c r="A1585" s="4"/>
      <c r="G1585" s="3">
        <f t="shared" si="26"/>
        <v>0</v>
      </c>
    </row>
    <row r="1586" spans="1:7" x14ac:dyDescent="0.25">
      <c r="A1586" s="4"/>
      <c r="G1586" s="3">
        <f t="shared" si="26"/>
        <v>0</v>
      </c>
    </row>
    <row r="1587" spans="1:7" x14ac:dyDescent="0.25">
      <c r="A1587" s="4"/>
      <c r="G1587" s="3">
        <f t="shared" si="26"/>
        <v>0</v>
      </c>
    </row>
    <row r="1588" spans="1:7" x14ac:dyDescent="0.25">
      <c r="A1588" s="4"/>
      <c r="G1588" s="3">
        <f t="shared" si="26"/>
        <v>0</v>
      </c>
    </row>
    <row r="1589" spans="1:7" x14ac:dyDescent="0.25">
      <c r="A1589" s="4"/>
      <c r="G1589" s="3">
        <f t="shared" si="26"/>
        <v>0</v>
      </c>
    </row>
    <row r="1590" spans="1:7" x14ac:dyDescent="0.25">
      <c r="A1590" s="4"/>
      <c r="G1590" s="3">
        <f t="shared" si="26"/>
        <v>0</v>
      </c>
    </row>
    <row r="1591" spans="1:7" x14ac:dyDescent="0.25">
      <c r="A1591" s="4"/>
      <c r="G1591" s="3">
        <f t="shared" si="26"/>
        <v>0</v>
      </c>
    </row>
    <row r="1592" spans="1:7" x14ac:dyDescent="0.25">
      <c r="A1592" s="4"/>
      <c r="G1592" s="3">
        <f t="shared" si="26"/>
        <v>0</v>
      </c>
    </row>
    <row r="1593" spans="1:7" x14ac:dyDescent="0.25">
      <c r="A1593" s="4"/>
      <c r="G1593" s="3">
        <f t="shared" si="26"/>
        <v>0</v>
      </c>
    </row>
    <row r="1594" spans="1:7" x14ac:dyDescent="0.25">
      <c r="A1594" s="4"/>
      <c r="G1594" s="3">
        <f t="shared" si="26"/>
        <v>0</v>
      </c>
    </row>
    <row r="1595" spans="1:7" x14ac:dyDescent="0.25">
      <c r="A1595" s="4"/>
      <c r="G1595" s="3">
        <f t="shared" si="26"/>
        <v>0</v>
      </c>
    </row>
    <row r="1596" spans="1:7" x14ac:dyDescent="0.25">
      <c r="A1596" s="4"/>
      <c r="G1596" s="3">
        <f t="shared" si="26"/>
        <v>0</v>
      </c>
    </row>
    <row r="1597" spans="1:7" x14ac:dyDescent="0.25">
      <c r="A1597" s="4"/>
      <c r="G1597" s="3">
        <f t="shared" si="26"/>
        <v>0</v>
      </c>
    </row>
    <row r="1598" spans="1:7" x14ac:dyDescent="0.25">
      <c r="A1598" s="4"/>
      <c r="G1598" s="3">
        <f t="shared" si="26"/>
        <v>0</v>
      </c>
    </row>
    <row r="1599" spans="1:7" x14ac:dyDescent="0.25">
      <c r="A1599" s="4"/>
      <c r="G1599" s="3">
        <f t="shared" si="26"/>
        <v>0</v>
      </c>
    </row>
    <row r="1600" spans="1:7" x14ac:dyDescent="0.25">
      <c r="A1600" s="4"/>
      <c r="G1600" s="3">
        <f t="shared" si="26"/>
        <v>0</v>
      </c>
    </row>
    <row r="1601" spans="1:7" x14ac:dyDescent="0.25">
      <c r="A1601" s="4"/>
      <c r="G1601" s="3">
        <f t="shared" si="26"/>
        <v>0</v>
      </c>
    </row>
    <row r="1602" spans="1:7" x14ac:dyDescent="0.25">
      <c r="A1602" s="4"/>
      <c r="G1602" s="3">
        <f t="shared" si="26"/>
        <v>0</v>
      </c>
    </row>
    <row r="1603" spans="1:7" x14ac:dyDescent="0.25">
      <c r="A1603" s="4"/>
      <c r="G1603" s="3">
        <f t="shared" si="26"/>
        <v>0</v>
      </c>
    </row>
    <row r="1604" spans="1:7" x14ac:dyDescent="0.25">
      <c r="A1604" s="4"/>
      <c r="G1604" s="3">
        <f t="shared" si="26"/>
        <v>0</v>
      </c>
    </row>
    <row r="1605" spans="1:7" x14ac:dyDescent="0.25">
      <c r="A1605" s="4"/>
      <c r="G1605" s="3">
        <f t="shared" si="26"/>
        <v>0</v>
      </c>
    </row>
    <row r="1606" spans="1:7" x14ac:dyDescent="0.25">
      <c r="A1606" s="4"/>
      <c r="G1606" s="3">
        <f t="shared" si="26"/>
        <v>0</v>
      </c>
    </row>
    <row r="1607" spans="1:7" x14ac:dyDescent="0.25">
      <c r="A1607" s="4"/>
      <c r="G1607" s="3">
        <f t="shared" si="26"/>
        <v>0</v>
      </c>
    </row>
    <row r="1608" spans="1:7" x14ac:dyDescent="0.25">
      <c r="A1608" s="4"/>
      <c r="G1608" s="3">
        <f t="shared" si="26"/>
        <v>0</v>
      </c>
    </row>
    <row r="1609" spans="1:7" x14ac:dyDescent="0.25">
      <c r="A1609" s="4"/>
      <c r="G1609" s="3">
        <f t="shared" si="26"/>
        <v>0</v>
      </c>
    </row>
    <row r="1610" spans="1:7" x14ac:dyDescent="0.25">
      <c r="A1610" s="4"/>
      <c r="G1610" s="3">
        <f t="shared" si="26"/>
        <v>0</v>
      </c>
    </row>
    <row r="1611" spans="1:7" x14ac:dyDescent="0.25">
      <c r="A1611" s="4"/>
      <c r="G1611" s="3">
        <f t="shared" si="26"/>
        <v>0</v>
      </c>
    </row>
    <row r="1612" spans="1:7" x14ac:dyDescent="0.25">
      <c r="A1612" s="4"/>
      <c r="G1612" s="3">
        <f t="shared" si="26"/>
        <v>0</v>
      </c>
    </row>
    <row r="1613" spans="1:7" x14ac:dyDescent="0.25">
      <c r="A1613" s="4"/>
      <c r="G1613" s="3">
        <f t="shared" si="26"/>
        <v>0</v>
      </c>
    </row>
    <row r="1614" spans="1:7" x14ac:dyDescent="0.25">
      <c r="A1614" s="4"/>
      <c r="G1614" s="3">
        <f t="shared" si="26"/>
        <v>0</v>
      </c>
    </row>
    <row r="1615" spans="1:7" x14ac:dyDescent="0.25">
      <c r="A1615" s="4"/>
      <c r="G1615" s="3">
        <f t="shared" si="26"/>
        <v>0</v>
      </c>
    </row>
    <row r="1616" spans="1:7" x14ac:dyDescent="0.25">
      <c r="A1616" s="4"/>
      <c r="G1616" s="3">
        <f t="shared" si="26"/>
        <v>0</v>
      </c>
    </row>
    <row r="1617" spans="1:7" x14ac:dyDescent="0.25">
      <c r="A1617" s="4"/>
      <c r="G1617" s="3">
        <f t="shared" si="26"/>
        <v>0</v>
      </c>
    </row>
    <row r="1618" spans="1:7" x14ac:dyDescent="0.25">
      <c r="A1618" s="4"/>
      <c r="G1618" s="3">
        <f t="shared" si="26"/>
        <v>0</v>
      </c>
    </row>
    <row r="1619" spans="1:7" x14ac:dyDescent="0.25">
      <c r="A1619" s="4"/>
      <c r="G1619" s="3">
        <f t="shared" si="26"/>
        <v>0</v>
      </c>
    </row>
    <row r="1620" spans="1:7" x14ac:dyDescent="0.25">
      <c r="A1620" s="4"/>
      <c r="G1620" s="3">
        <f t="shared" si="26"/>
        <v>0</v>
      </c>
    </row>
    <row r="1621" spans="1:7" x14ac:dyDescent="0.25">
      <c r="A1621" s="4"/>
      <c r="G1621" s="3">
        <f t="shared" si="26"/>
        <v>0</v>
      </c>
    </row>
    <row r="1622" spans="1:7" x14ac:dyDescent="0.25">
      <c r="A1622" s="4"/>
      <c r="G1622" s="3">
        <f t="shared" si="26"/>
        <v>0</v>
      </c>
    </row>
    <row r="1623" spans="1:7" x14ac:dyDescent="0.25">
      <c r="A1623" s="4"/>
      <c r="G1623" s="3">
        <f t="shared" si="26"/>
        <v>0</v>
      </c>
    </row>
    <row r="1624" spans="1:7" x14ac:dyDescent="0.25">
      <c r="A1624" s="4"/>
      <c r="G1624" s="3">
        <f t="shared" si="26"/>
        <v>0</v>
      </c>
    </row>
    <row r="1625" spans="1:7" x14ac:dyDescent="0.25">
      <c r="A1625" s="4"/>
      <c r="G1625" s="3">
        <f t="shared" si="26"/>
        <v>0</v>
      </c>
    </row>
    <row r="1626" spans="1:7" x14ac:dyDescent="0.25">
      <c r="A1626" s="4"/>
      <c r="G1626" s="3">
        <f t="shared" si="26"/>
        <v>0</v>
      </c>
    </row>
    <row r="1627" spans="1:7" x14ac:dyDescent="0.25">
      <c r="A1627" s="4"/>
      <c r="G1627" s="3">
        <f t="shared" si="26"/>
        <v>0</v>
      </c>
    </row>
    <row r="1628" spans="1:7" x14ac:dyDescent="0.25">
      <c r="A1628" s="4"/>
      <c r="G1628" s="3">
        <f t="shared" si="26"/>
        <v>0</v>
      </c>
    </row>
    <row r="1629" spans="1:7" x14ac:dyDescent="0.25">
      <c r="A1629" s="4"/>
      <c r="G1629" s="3">
        <f t="shared" si="26"/>
        <v>0</v>
      </c>
    </row>
    <row r="1630" spans="1:7" x14ac:dyDescent="0.25">
      <c r="A1630" s="4"/>
      <c r="G1630" s="3">
        <f t="shared" si="26"/>
        <v>0</v>
      </c>
    </row>
    <row r="1631" spans="1:7" x14ac:dyDescent="0.25">
      <c r="A1631" s="4"/>
      <c r="G1631" s="3">
        <f t="shared" si="26"/>
        <v>0</v>
      </c>
    </row>
    <row r="1632" spans="1:7" x14ac:dyDescent="0.25">
      <c r="A1632" s="4"/>
      <c r="G1632" s="3">
        <f t="shared" si="26"/>
        <v>0</v>
      </c>
    </row>
    <row r="1633" spans="1:7" x14ac:dyDescent="0.25">
      <c r="A1633" s="4"/>
      <c r="G1633" s="3">
        <f t="shared" si="26"/>
        <v>0</v>
      </c>
    </row>
    <row r="1634" spans="1:7" x14ac:dyDescent="0.25">
      <c r="A1634" s="4"/>
      <c r="G1634" s="3">
        <f t="shared" si="26"/>
        <v>0</v>
      </c>
    </row>
    <row r="1635" spans="1:7" x14ac:dyDescent="0.25">
      <c r="A1635" s="4"/>
      <c r="G1635" s="3">
        <f t="shared" si="26"/>
        <v>0</v>
      </c>
    </row>
    <row r="1636" spans="1:7" x14ac:dyDescent="0.25">
      <c r="A1636" s="4"/>
      <c r="G1636" s="3">
        <f t="shared" si="26"/>
        <v>0</v>
      </c>
    </row>
    <row r="1637" spans="1:7" x14ac:dyDescent="0.25">
      <c r="A1637" s="4"/>
      <c r="G1637" s="3">
        <f t="shared" si="26"/>
        <v>0</v>
      </c>
    </row>
    <row r="1638" spans="1:7" x14ac:dyDescent="0.25">
      <c r="A1638" s="4"/>
      <c r="G1638" s="3">
        <f t="shared" si="26"/>
        <v>0</v>
      </c>
    </row>
    <row r="1639" spans="1:7" x14ac:dyDescent="0.25">
      <c r="A1639" s="4"/>
      <c r="G1639" s="3">
        <f t="shared" si="26"/>
        <v>0</v>
      </c>
    </row>
    <row r="1640" spans="1:7" x14ac:dyDescent="0.25">
      <c r="A1640" s="4"/>
      <c r="G1640" s="3">
        <f t="shared" si="26"/>
        <v>0</v>
      </c>
    </row>
    <row r="1641" spans="1:7" x14ac:dyDescent="0.25">
      <c r="A1641" s="4"/>
      <c r="G1641" s="3">
        <f t="shared" si="26"/>
        <v>0</v>
      </c>
    </row>
    <row r="1642" spans="1:7" x14ac:dyDescent="0.25">
      <c r="A1642" s="4"/>
      <c r="G1642" s="3">
        <f t="shared" si="26"/>
        <v>0</v>
      </c>
    </row>
    <row r="1643" spans="1:7" x14ac:dyDescent="0.25">
      <c r="A1643" s="4"/>
      <c r="G1643" s="3">
        <f t="shared" si="26"/>
        <v>0</v>
      </c>
    </row>
    <row r="1644" spans="1:7" x14ac:dyDescent="0.25">
      <c r="A1644" s="4"/>
      <c r="G1644" s="3">
        <f t="shared" ref="G1644:G1707" si="27">D1644+E1644-F1644</f>
        <v>0</v>
      </c>
    </row>
    <row r="1645" spans="1:7" x14ac:dyDescent="0.25">
      <c r="A1645" s="4"/>
      <c r="G1645" s="3">
        <f t="shared" si="27"/>
        <v>0</v>
      </c>
    </row>
    <row r="1646" spans="1:7" x14ac:dyDescent="0.25">
      <c r="A1646" s="4"/>
      <c r="G1646" s="3">
        <f t="shared" si="27"/>
        <v>0</v>
      </c>
    </row>
    <row r="1647" spans="1:7" x14ac:dyDescent="0.25">
      <c r="A1647" s="4"/>
      <c r="G1647" s="3">
        <f t="shared" si="27"/>
        <v>0</v>
      </c>
    </row>
    <row r="1648" spans="1:7" x14ac:dyDescent="0.25">
      <c r="A1648" s="4"/>
      <c r="G1648" s="3">
        <f t="shared" si="27"/>
        <v>0</v>
      </c>
    </row>
    <row r="1649" spans="1:7" x14ac:dyDescent="0.25">
      <c r="A1649" s="4"/>
      <c r="G1649" s="3">
        <f t="shared" si="27"/>
        <v>0</v>
      </c>
    </row>
    <row r="1650" spans="1:7" x14ac:dyDescent="0.25">
      <c r="A1650" s="4"/>
      <c r="G1650" s="3">
        <f t="shared" si="27"/>
        <v>0</v>
      </c>
    </row>
    <row r="1651" spans="1:7" x14ac:dyDescent="0.25">
      <c r="A1651" s="4"/>
      <c r="G1651" s="3">
        <f t="shared" si="27"/>
        <v>0</v>
      </c>
    </row>
    <row r="1652" spans="1:7" x14ac:dyDescent="0.25">
      <c r="A1652" s="4"/>
      <c r="G1652" s="3">
        <f t="shared" si="27"/>
        <v>0</v>
      </c>
    </row>
    <row r="1653" spans="1:7" x14ac:dyDescent="0.25">
      <c r="A1653" s="4"/>
      <c r="G1653" s="3">
        <f t="shared" si="27"/>
        <v>0</v>
      </c>
    </row>
    <row r="1654" spans="1:7" x14ac:dyDescent="0.25">
      <c r="A1654" s="4"/>
      <c r="G1654" s="3">
        <f t="shared" si="27"/>
        <v>0</v>
      </c>
    </row>
    <row r="1655" spans="1:7" x14ac:dyDescent="0.25">
      <c r="A1655" s="4"/>
      <c r="G1655" s="3">
        <f t="shared" si="27"/>
        <v>0</v>
      </c>
    </row>
    <row r="1656" spans="1:7" x14ac:dyDescent="0.25">
      <c r="A1656" s="4"/>
      <c r="G1656" s="3">
        <f t="shared" si="27"/>
        <v>0</v>
      </c>
    </row>
    <row r="1657" spans="1:7" x14ac:dyDescent="0.25">
      <c r="A1657" s="4"/>
      <c r="G1657" s="3">
        <f t="shared" si="27"/>
        <v>0</v>
      </c>
    </row>
    <row r="1658" spans="1:7" x14ac:dyDescent="0.25">
      <c r="A1658" s="4"/>
      <c r="G1658" s="3">
        <f t="shared" si="27"/>
        <v>0</v>
      </c>
    </row>
    <row r="1659" spans="1:7" x14ac:dyDescent="0.25">
      <c r="A1659" s="4"/>
      <c r="G1659" s="3">
        <f t="shared" si="27"/>
        <v>0</v>
      </c>
    </row>
    <row r="1660" spans="1:7" x14ac:dyDescent="0.25">
      <c r="A1660" s="4"/>
      <c r="G1660" s="3">
        <f t="shared" si="27"/>
        <v>0</v>
      </c>
    </row>
    <row r="1661" spans="1:7" x14ac:dyDescent="0.25">
      <c r="A1661" s="4"/>
      <c r="G1661" s="3">
        <f t="shared" si="27"/>
        <v>0</v>
      </c>
    </row>
    <row r="1662" spans="1:7" x14ac:dyDescent="0.25">
      <c r="A1662" s="4"/>
      <c r="G1662" s="3">
        <f t="shared" si="27"/>
        <v>0</v>
      </c>
    </row>
    <row r="1663" spans="1:7" x14ac:dyDescent="0.25">
      <c r="A1663" s="4"/>
      <c r="G1663" s="3">
        <f t="shared" si="27"/>
        <v>0</v>
      </c>
    </row>
    <row r="1664" spans="1:7" x14ac:dyDescent="0.25">
      <c r="A1664" s="4"/>
      <c r="G1664" s="3">
        <f t="shared" si="27"/>
        <v>0</v>
      </c>
    </row>
    <row r="1665" spans="1:7" x14ac:dyDescent="0.25">
      <c r="A1665" s="4"/>
      <c r="G1665" s="3">
        <f t="shared" si="27"/>
        <v>0</v>
      </c>
    </row>
    <row r="1666" spans="1:7" x14ac:dyDescent="0.25">
      <c r="A1666" s="4"/>
      <c r="G1666" s="3">
        <f t="shared" si="27"/>
        <v>0</v>
      </c>
    </row>
    <row r="1667" spans="1:7" x14ac:dyDescent="0.25">
      <c r="A1667" s="4"/>
      <c r="G1667" s="3">
        <f t="shared" si="27"/>
        <v>0</v>
      </c>
    </row>
    <row r="1668" spans="1:7" x14ac:dyDescent="0.25">
      <c r="A1668" s="4"/>
      <c r="G1668" s="3">
        <f t="shared" si="27"/>
        <v>0</v>
      </c>
    </row>
    <row r="1669" spans="1:7" x14ac:dyDescent="0.25">
      <c r="A1669" s="4"/>
      <c r="G1669" s="3">
        <f t="shared" si="27"/>
        <v>0</v>
      </c>
    </row>
    <row r="1670" spans="1:7" x14ac:dyDescent="0.25">
      <c r="A1670" s="4"/>
      <c r="G1670" s="3">
        <f t="shared" si="27"/>
        <v>0</v>
      </c>
    </row>
    <row r="1671" spans="1:7" x14ac:dyDescent="0.25">
      <c r="A1671" s="4"/>
      <c r="G1671" s="3">
        <f t="shared" si="27"/>
        <v>0</v>
      </c>
    </row>
    <row r="1672" spans="1:7" x14ac:dyDescent="0.25">
      <c r="A1672" s="4"/>
      <c r="G1672" s="3">
        <f t="shared" si="27"/>
        <v>0</v>
      </c>
    </row>
    <row r="1673" spans="1:7" x14ac:dyDescent="0.25">
      <c r="A1673" s="4"/>
      <c r="G1673" s="3">
        <f t="shared" si="27"/>
        <v>0</v>
      </c>
    </row>
    <row r="1674" spans="1:7" x14ac:dyDescent="0.25">
      <c r="A1674" s="4"/>
      <c r="G1674" s="3">
        <f t="shared" si="27"/>
        <v>0</v>
      </c>
    </row>
    <row r="1675" spans="1:7" x14ac:dyDescent="0.25">
      <c r="A1675" s="4"/>
      <c r="G1675" s="3">
        <f t="shared" si="27"/>
        <v>0</v>
      </c>
    </row>
    <row r="1676" spans="1:7" x14ac:dyDescent="0.25">
      <c r="A1676" s="4"/>
      <c r="G1676" s="3">
        <f t="shared" si="27"/>
        <v>0</v>
      </c>
    </row>
    <row r="1677" spans="1:7" x14ac:dyDescent="0.25">
      <c r="A1677" s="4"/>
      <c r="G1677" s="3">
        <f t="shared" si="27"/>
        <v>0</v>
      </c>
    </row>
    <row r="1678" spans="1:7" x14ac:dyDescent="0.25">
      <c r="A1678" s="4"/>
      <c r="G1678" s="3">
        <f t="shared" si="27"/>
        <v>0</v>
      </c>
    </row>
    <row r="1679" spans="1:7" x14ac:dyDescent="0.25">
      <c r="A1679" s="4"/>
      <c r="G1679" s="3">
        <f t="shared" si="27"/>
        <v>0</v>
      </c>
    </row>
    <row r="1680" spans="1:7" x14ac:dyDescent="0.25">
      <c r="A1680" s="4"/>
      <c r="G1680" s="3">
        <f t="shared" si="27"/>
        <v>0</v>
      </c>
    </row>
    <row r="1681" spans="1:7" x14ac:dyDescent="0.25">
      <c r="A1681" s="4"/>
      <c r="G1681" s="3">
        <f t="shared" si="27"/>
        <v>0</v>
      </c>
    </row>
    <row r="1682" spans="1:7" x14ac:dyDescent="0.25">
      <c r="A1682" s="4"/>
      <c r="G1682" s="3">
        <f t="shared" si="27"/>
        <v>0</v>
      </c>
    </row>
    <row r="1683" spans="1:7" x14ac:dyDescent="0.25">
      <c r="A1683" s="4"/>
      <c r="G1683" s="3">
        <f t="shared" si="27"/>
        <v>0</v>
      </c>
    </row>
    <row r="1684" spans="1:7" x14ac:dyDescent="0.25">
      <c r="A1684" s="4"/>
      <c r="G1684" s="3">
        <f t="shared" si="27"/>
        <v>0</v>
      </c>
    </row>
    <row r="1685" spans="1:7" x14ac:dyDescent="0.25">
      <c r="A1685" s="4"/>
      <c r="G1685" s="3">
        <f t="shared" si="27"/>
        <v>0</v>
      </c>
    </row>
    <row r="1686" spans="1:7" x14ac:dyDescent="0.25">
      <c r="A1686" s="4"/>
      <c r="G1686" s="3">
        <f t="shared" si="27"/>
        <v>0</v>
      </c>
    </row>
    <row r="1687" spans="1:7" x14ac:dyDescent="0.25">
      <c r="A1687" s="4"/>
      <c r="G1687" s="3">
        <f t="shared" si="27"/>
        <v>0</v>
      </c>
    </row>
    <row r="1688" spans="1:7" x14ac:dyDescent="0.25">
      <c r="A1688" s="4"/>
      <c r="G1688" s="3">
        <f t="shared" si="27"/>
        <v>0</v>
      </c>
    </row>
    <row r="1689" spans="1:7" x14ac:dyDescent="0.25">
      <c r="A1689" s="4"/>
      <c r="G1689" s="3">
        <f t="shared" si="27"/>
        <v>0</v>
      </c>
    </row>
    <row r="1690" spans="1:7" x14ac:dyDescent="0.25">
      <c r="A1690" s="4"/>
      <c r="G1690" s="3">
        <f t="shared" si="27"/>
        <v>0</v>
      </c>
    </row>
    <row r="1691" spans="1:7" x14ac:dyDescent="0.25">
      <c r="A1691" s="4"/>
      <c r="G1691" s="3">
        <f t="shared" si="27"/>
        <v>0</v>
      </c>
    </row>
    <row r="1692" spans="1:7" x14ac:dyDescent="0.25">
      <c r="A1692" s="4"/>
      <c r="G1692" s="3">
        <f t="shared" si="27"/>
        <v>0</v>
      </c>
    </row>
    <row r="1693" spans="1:7" x14ac:dyDescent="0.25">
      <c r="A1693" s="4"/>
      <c r="G1693" s="3">
        <f t="shared" si="27"/>
        <v>0</v>
      </c>
    </row>
    <row r="1694" spans="1:7" x14ac:dyDescent="0.25">
      <c r="A1694" s="4"/>
      <c r="G1694" s="3">
        <f t="shared" si="27"/>
        <v>0</v>
      </c>
    </row>
    <row r="1695" spans="1:7" x14ac:dyDescent="0.25">
      <c r="A1695" s="4"/>
      <c r="G1695" s="3">
        <f t="shared" si="27"/>
        <v>0</v>
      </c>
    </row>
    <row r="1696" spans="1:7" x14ac:dyDescent="0.25">
      <c r="A1696" s="4"/>
      <c r="G1696" s="3">
        <f t="shared" si="27"/>
        <v>0</v>
      </c>
    </row>
    <row r="1697" spans="1:7" x14ac:dyDescent="0.25">
      <c r="A1697" s="4"/>
      <c r="G1697" s="3">
        <f t="shared" si="27"/>
        <v>0</v>
      </c>
    </row>
    <row r="1698" spans="1:7" x14ac:dyDescent="0.25">
      <c r="A1698" s="4"/>
      <c r="G1698" s="3">
        <f t="shared" si="27"/>
        <v>0</v>
      </c>
    </row>
    <row r="1699" spans="1:7" x14ac:dyDescent="0.25">
      <c r="A1699" s="4"/>
      <c r="G1699" s="3">
        <f t="shared" si="27"/>
        <v>0</v>
      </c>
    </row>
    <row r="1700" spans="1:7" x14ac:dyDescent="0.25">
      <c r="A1700" s="4"/>
      <c r="G1700" s="3">
        <f t="shared" si="27"/>
        <v>0</v>
      </c>
    </row>
    <row r="1701" spans="1:7" x14ac:dyDescent="0.25">
      <c r="A1701" s="4"/>
      <c r="G1701" s="3">
        <f t="shared" si="27"/>
        <v>0</v>
      </c>
    </row>
    <row r="1702" spans="1:7" x14ac:dyDescent="0.25">
      <c r="A1702" s="4"/>
      <c r="G1702" s="3">
        <f t="shared" si="27"/>
        <v>0</v>
      </c>
    </row>
    <row r="1703" spans="1:7" x14ac:dyDescent="0.25">
      <c r="A1703" s="4"/>
      <c r="G1703" s="3">
        <f t="shared" si="27"/>
        <v>0</v>
      </c>
    </row>
    <row r="1704" spans="1:7" x14ac:dyDescent="0.25">
      <c r="A1704" s="4"/>
      <c r="G1704" s="3">
        <f t="shared" si="27"/>
        <v>0</v>
      </c>
    </row>
    <row r="1705" spans="1:7" x14ac:dyDescent="0.25">
      <c r="A1705" s="4"/>
      <c r="G1705" s="3">
        <f t="shared" si="27"/>
        <v>0</v>
      </c>
    </row>
    <row r="1706" spans="1:7" x14ac:dyDescent="0.25">
      <c r="A1706" s="4"/>
      <c r="G1706" s="3">
        <f t="shared" si="27"/>
        <v>0</v>
      </c>
    </row>
    <row r="1707" spans="1:7" x14ac:dyDescent="0.25">
      <c r="A1707" s="4"/>
      <c r="G1707" s="3">
        <f t="shared" si="27"/>
        <v>0</v>
      </c>
    </row>
    <row r="1708" spans="1:7" x14ac:dyDescent="0.25">
      <c r="A1708" s="4"/>
      <c r="G1708" s="3">
        <f t="shared" ref="G1708:G1751" si="28">D1708+E1708-F1708</f>
        <v>0</v>
      </c>
    </row>
    <row r="1709" spans="1:7" x14ac:dyDescent="0.25">
      <c r="A1709" s="4"/>
      <c r="G1709" s="3">
        <f t="shared" si="28"/>
        <v>0</v>
      </c>
    </row>
    <row r="1710" spans="1:7" x14ac:dyDescent="0.25">
      <c r="A1710" s="4"/>
      <c r="G1710" s="3">
        <f t="shared" si="28"/>
        <v>0</v>
      </c>
    </row>
    <row r="1711" spans="1:7" x14ac:dyDescent="0.25">
      <c r="A1711" s="4"/>
      <c r="G1711" s="3">
        <f t="shared" si="28"/>
        <v>0</v>
      </c>
    </row>
    <row r="1712" spans="1:7" x14ac:dyDescent="0.25">
      <c r="A1712" s="4"/>
      <c r="G1712" s="3">
        <f t="shared" si="28"/>
        <v>0</v>
      </c>
    </row>
    <row r="1713" spans="1:7" x14ac:dyDescent="0.25">
      <c r="A1713" s="4"/>
      <c r="G1713" s="3">
        <f t="shared" si="28"/>
        <v>0</v>
      </c>
    </row>
    <row r="1714" spans="1:7" x14ac:dyDescent="0.25">
      <c r="A1714" s="4"/>
      <c r="G1714" s="3">
        <f t="shared" si="28"/>
        <v>0</v>
      </c>
    </row>
    <row r="1715" spans="1:7" x14ac:dyDescent="0.25">
      <c r="A1715" s="4"/>
      <c r="G1715" s="3">
        <f t="shared" si="28"/>
        <v>0</v>
      </c>
    </row>
    <row r="1716" spans="1:7" x14ac:dyDescent="0.25">
      <c r="A1716" s="4"/>
      <c r="G1716" s="3">
        <f t="shared" si="28"/>
        <v>0</v>
      </c>
    </row>
    <row r="1717" spans="1:7" x14ac:dyDescent="0.25">
      <c r="A1717" s="4"/>
      <c r="G1717" s="3">
        <f t="shared" si="28"/>
        <v>0</v>
      </c>
    </row>
    <row r="1718" spans="1:7" x14ac:dyDescent="0.25">
      <c r="A1718" s="4"/>
      <c r="G1718" s="3">
        <f t="shared" si="28"/>
        <v>0</v>
      </c>
    </row>
    <row r="1719" spans="1:7" x14ac:dyDescent="0.25">
      <c r="A1719" s="4"/>
      <c r="G1719" s="3">
        <f t="shared" si="28"/>
        <v>0</v>
      </c>
    </row>
    <row r="1720" spans="1:7" x14ac:dyDescent="0.25">
      <c r="A1720" s="4"/>
      <c r="G1720" s="3">
        <f t="shared" si="28"/>
        <v>0</v>
      </c>
    </row>
    <row r="1721" spans="1:7" x14ac:dyDescent="0.25">
      <c r="A1721" s="4"/>
      <c r="G1721" s="3">
        <f t="shared" si="28"/>
        <v>0</v>
      </c>
    </row>
    <row r="1722" spans="1:7" x14ac:dyDescent="0.25">
      <c r="A1722" s="4"/>
      <c r="G1722" s="3">
        <f t="shared" si="28"/>
        <v>0</v>
      </c>
    </row>
    <row r="1723" spans="1:7" x14ac:dyDescent="0.25">
      <c r="A1723" s="4"/>
      <c r="G1723" s="3">
        <f t="shared" si="28"/>
        <v>0</v>
      </c>
    </row>
    <row r="1724" spans="1:7" x14ac:dyDescent="0.25">
      <c r="A1724" s="4"/>
      <c r="G1724" s="3">
        <f t="shared" si="28"/>
        <v>0</v>
      </c>
    </row>
    <row r="1725" spans="1:7" x14ac:dyDescent="0.25">
      <c r="A1725" s="4"/>
      <c r="G1725" s="3">
        <f t="shared" si="28"/>
        <v>0</v>
      </c>
    </row>
    <row r="1726" spans="1:7" x14ac:dyDescent="0.25">
      <c r="A1726" s="4"/>
      <c r="G1726" s="3">
        <f t="shared" si="28"/>
        <v>0</v>
      </c>
    </row>
    <row r="1727" spans="1:7" x14ac:dyDescent="0.25">
      <c r="A1727" s="4"/>
      <c r="G1727" s="3">
        <f t="shared" si="28"/>
        <v>0</v>
      </c>
    </row>
    <row r="1728" spans="1:7" x14ac:dyDescent="0.25">
      <c r="A1728" s="4"/>
      <c r="G1728" s="3">
        <f t="shared" si="28"/>
        <v>0</v>
      </c>
    </row>
    <row r="1729" spans="1:7" x14ac:dyDescent="0.25">
      <c r="A1729" s="4"/>
      <c r="G1729" s="3">
        <f t="shared" si="28"/>
        <v>0</v>
      </c>
    </row>
    <row r="1730" spans="1:7" x14ac:dyDescent="0.25">
      <c r="A1730" s="4"/>
      <c r="G1730" s="3">
        <f t="shared" si="28"/>
        <v>0</v>
      </c>
    </row>
    <row r="1731" spans="1:7" x14ac:dyDescent="0.25">
      <c r="A1731" s="4"/>
      <c r="G1731" s="3">
        <f t="shared" si="28"/>
        <v>0</v>
      </c>
    </row>
    <row r="1732" spans="1:7" x14ac:dyDescent="0.25">
      <c r="A1732" s="4"/>
      <c r="G1732" s="3">
        <f t="shared" si="28"/>
        <v>0</v>
      </c>
    </row>
    <row r="1733" spans="1:7" x14ac:dyDescent="0.25">
      <c r="A1733" s="4"/>
      <c r="G1733" s="3">
        <f t="shared" si="28"/>
        <v>0</v>
      </c>
    </row>
    <row r="1734" spans="1:7" x14ac:dyDescent="0.25">
      <c r="A1734" s="4"/>
      <c r="G1734" s="3">
        <f t="shared" si="28"/>
        <v>0</v>
      </c>
    </row>
    <row r="1735" spans="1:7" x14ac:dyDescent="0.25">
      <c r="A1735" s="4"/>
      <c r="G1735" s="3">
        <f t="shared" si="28"/>
        <v>0</v>
      </c>
    </row>
    <row r="1736" spans="1:7" x14ac:dyDescent="0.25">
      <c r="A1736" s="4"/>
      <c r="G1736" s="3">
        <f t="shared" si="28"/>
        <v>0</v>
      </c>
    </row>
    <row r="1737" spans="1:7" x14ac:dyDescent="0.25">
      <c r="A1737" s="4"/>
      <c r="G1737" s="3">
        <f t="shared" si="28"/>
        <v>0</v>
      </c>
    </row>
    <row r="1738" spans="1:7" x14ac:dyDescent="0.25">
      <c r="A1738" s="4"/>
      <c r="G1738" s="3">
        <f t="shared" si="28"/>
        <v>0</v>
      </c>
    </row>
    <row r="1739" spans="1:7" x14ac:dyDescent="0.25">
      <c r="A1739" s="4"/>
      <c r="G1739" s="3">
        <f t="shared" si="28"/>
        <v>0</v>
      </c>
    </row>
    <row r="1740" spans="1:7" x14ac:dyDescent="0.25">
      <c r="A1740" s="4"/>
      <c r="G1740" s="3">
        <f t="shared" si="28"/>
        <v>0</v>
      </c>
    </row>
    <row r="1741" spans="1:7" x14ac:dyDescent="0.25">
      <c r="A1741" s="4"/>
      <c r="G1741" s="3">
        <f t="shared" si="28"/>
        <v>0</v>
      </c>
    </row>
    <row r="1742" spans="1:7" x14ac:dyDescent="0.25">
      <c r="A1742" s="4"/>
      <c r="G1742" s="3">
        <f t="shared" si="28"/>
        <v>0</v>
      </c>
    </row>
    <row r="1743" spans="1:7" x14ac:dyDescent="0.25">
      <c r="A1743" s="4"/>
      <c r="G1743" s="3">
        <f t="shared" si="28"/>
        <v>0</v>
      </c>
    </row>
    <row r="1744" spans="1:7" x14ac:dyDescent="0.25">
      <c r="A1744" s="4"/>
      <c r="G1744" s="3">
        <f t="shared" si="28"/>
        <v>0</v>
      </c>
    </row>
    <row r="1745" spans="1:7" x14ac:dyDescent="0.25">
      <c r="A1745" s="4"/>
      <c r="G1745" s="3">
        <f t="shared" si="28"/>
        <v>0</v>
      </c>
    </row>
    <row r="1746" spans="1:7" x14ac:dyDescent="0.25">
      <c r="A1746" s="4"/>
      <c r="G1746" s="3">
        <f t="shared" si="28"/>
        <v>0</v>
      </c>
    </row>
    <row r="1747" spans="1:7" x14ac:dyDescent="0.25">
      <c r="A1747" s="4"/>
      <c r="G1747" s="3">
        <f t="shared" si="28"/>
        <v>0</v>
      </c>
    </row>
    <row r="1748" spans="1:7" x14ac:dyDescent="0.25">
      <c r="A1748" s="4"/>
      <c r="G1748" s="3">
        <f t="shared" si="28"/>
        <v>0</v>
      </c>
    </row>
    <row r="1749" spans="1:7" x14ac:dyDescent="0.25">
      <c r="A1749" s="4"/>
      <c r="G1749" s="3">
        <f t="shared" si="28"/>
        <v>0</v>
      </c>
    </row>
    <row r="1750" spans="1:7" x14ac:dyDescent="0.25">
      <c r="A1750" s="4"/>
      <c r="G1750" s="3">
        <f t="shared" si="28"/>
        <v>0</v>
      </c>
    </row>
    <row r="1751" spans="1:7" x14ac:dyDescent="0.25">
      <c r="A1751" s="4"/>
      <c r="G1751" s="3">
        <f t="shared" si="28"/>
        <v>0</v>
      </c>
    </row>
  </sheetData>
  <mergeCells count="1">
    <mergeCell ref="I1:M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Feuil1!$B$17:$B$25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60"/>
  <sheetViews>
    <sheetView topLeftCell="A34" workbookViewId="0">
      <selection activeCell="G45" sqref="G45"/>
    </sheetView>
  </sheetViews>
  <sheetFormatPr baseColWidth="10" defaultColWidth="8.85546875" defaultRowHeight="24" customHeight="1" x14ac:dyDescent="0.25"/>
  <cols>
    <col min="1" max="1" width="15.5703125" style="3" customWidth="1"/>
    <col min="2" max="2" width="18" style="3" customWidth="1"/>
    <col min="3" max="3" width="84.85546875" style="3" customWidth="1"/>
    <col min="4" max="4" width="23.7109375" style="3" bestFit="1" customWidth="1"/>
    <col min="5" max="5" width="11.42578125" style="19" customWidth="1"/>
    <col min="6" max="6" width="22.140625" style="3" customWidth="1"/>
    <col min="7" max="7" width="25.140625" style="3" customWidth="1"/>
    <col min="8" max="8" width="25" style="3" customWidth="1"/>
    <col min="9" max="16384" width="8.85546875" style="3"/>
  </cols>
  <sheetData>
    <row r="1" spans="1:8" ht="40.15" customHeigh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8" t="s">
        <v>18</v>
      </c>
      <c r="F1" s="1" t="s">
        <v>19</v>
      </c>
      <c r="G1" s="1" t="s">
        <v>20</v>
      </c>
      <c r="H1" s="1" t="s">
        <v>21</v>
      </c>
    </row>
    <row r="2" spans="1:8" ht="24" customHeight="1" x14ac:dyDescent="0.25">
      <c r="A2" s="32">
        <v>45901</v>
      </c>
      <c r="B2" s="3">
        <v>12860</v>
      </c>
      <c r="C2" s="3" t="s">
        <v>124</v>
      </c>
      <c r="D2" s="3" t="s">
        <v>133</v>
      </c>
      <c r="E2" s="19">
        <v>40500</v>
      </c>
      <c r="G2" s="3" t="s">
        <v>125</v>
      </c>
      <c r="H2" s="3" t="s">
        <v>126</v>
      </c>
    </row>
    <row r="3" spans="1:8" ht="24" customHeight="1" x14ac:dyDescent="0.25">
      <c r="A3" s="4"/>
      <c r="B3" s="3">
        <v>12861</v>
      </c>
      <c r="C3" s="3" t="s">
        <v>127</v>
      </c>
      <c r="D3" s="3" t="s">
        <v>133</v>
      </c>
      <c r="E3" s="19">
        <v>1000</v>
      </c>
      <c r="G3" s="3" t="s">
        <v>125</v>
      </c>
    </row>
    <row r="4" spans="1:8" ht="24" customHeight="1" x14ac:dyDescent="0.25">
      <c r="A4" s="4"/>
      <c r="B4" s="3">
        <v>12862</v>
      </c>
      <c r="C4" s="3" t="s">
        <v>129</v>
      </c>
      <c r="E4" s="19">
        <v>11000</v>
      </c>
      <c r="G4" s="3" t="s">
        <v>128</v>
      </c>
    </row>
    <row r="5" spans="1:8" ht="24" customHeight="1" x14ac:dyDescent="0.25">
      <c r="A5" s="32">
        <v>45904</v>
      </c>
      <c r="B5" s="3">
        <v>12863</v>
      </c>
      <c r="C5" s="3" t="s">
        <v>127</v>
      </c>
      <c r="D5" s="3" t="s">
        <v>133</v>
      </c>
      <c r="E5" s="19">
        <v>1000</v>
      </c>
      <c r="G5" s="3" t="s">
        <v>125</v>
      </c>
    </row>
    <row r="6" spans="1:8" ht="24" customHeight="1" x14ac:dyDescent="0.25">
      <c r="A6" s="4"/>
      <c r="B6" s="3">
        <v>12864</v>
      </c>
      <c r="C6" s="3" t="s">
        <v>124</v>
      </c>
      <c r="D6" s="3" t="s">
        <v>132</v>
      </c>
      <c r="E6" s="19">
        <v>42300</v>
      </c>
      <c r="G6" s="3" t="s">
        <v>130</v>
      </c>
    </row>
    <row r="7" spans="1:8" ht="24" customHeight="1" x14ac:dyDescent="0.25">
      <c r="A7" s="32">
        <v>45905</v>
      </c>
      <c r="B7" s="3">
        <v>12865</v>
      </c>
      <c r="C7" s="3" t="s">
        <v>131</v>
      </c>
      <c r="D7" s="3" t="s">
        <v>132</v>
      </c>
      <c r="E7" s="19">
        <v>5000</v>
      </c>
      <c r="G7" s="3" t="s">
        <v>130</v>
      </c>
    </row>
    <row r="8" spans="1:8" ht="24" customHeight="1" x14ac:dyDescent="0.25">
      <c r="A8" s="4"/>
      <c r="B8" s="3">
        <v>12866</v>
      </c>
      <c r="C8" s="3" t="s">
        <v>135</v>
      </c>
      <c r="D8" s="32">
        <v>45900</v>
      </c>
      <c r="E8" s="19">
        <v>26000</v>
      </c>
      <c r="G8" s="3" t="s">
        <v>134</v>
      </c>
    </row>
    <row r="9" spans="1:8" ht="24" customHeight="1" x14ac:dyDescent="0.25">
      <c r="A9" s="4"/>
      <c r="B9" s="3">
        <v>12867</v>
      </c>
      <c r="C9" s="3" t="s">
        <v>131</v>
      </c>
      <c r="D9" s="3" t="s">
        <v>133</v>
      </c>
      <c r="E9" s="19">
        <v>5000</v>
      </c>
      <c r="G9" s="3" t="s">
        <v>125</v>
      </c>
    </row>
    <row r="10" spans="1:8" ht="24" customHeight="1" x14ac:dyDescent="0.25">
      <c r="A10" s="4"/>
      <c r="B10" s="3">
        <v>12868</v>
      </c>
      <c r="C10" s="3" t="s">
        <v>136</v>
      </c>
      <c r="E10" s="19">
        <v>280000</v>
      </c>
      <c r="G10" s="3" t="s">
        <v>137</v>
      </c>
    </row>
    <row r="11" spans="1:8" ht="24" customHeight="1" x14ac:dyDescent="0.25">
      <c r="A11" s="4"/>
      <c r="B11" s="3">
        <v>12869</v>
      </c>
      <c r="C11" s="3" t="s">
        <v>127</v>
      </c>
      <c r="D11" s="3" t="s">
        <v>132</v>
      </c>
      <c r="E11" s="19">
        <v>1000</v>
      </c>
      <c r="G11" s="3" t="s">
        <v>130</v>
      </c>
    </row>
    <row r="12" spans="1:8" ht="24" customHeight="1" x14ac:dyDescent="0.25">
      <c r="A12" s="32">
        <v>45906</v>
      </c>
      <c r="B12" s="3">
        <v>12870</v>
      </c>
      <c r="C12" s="3" t="s">
        <v>124</v>
      </c>
      <c r="D12" s="3" t="s">
        <v>132</v>
      </c>
      <c r="E12" s="19">
        <v>43350</v>
      </c>
      <c r="G12" s="3" t="s">
        <v>130</v>
      </c>
    </row>
    <row r="13" spans="1:8" ht="24" customHeight="1" x14ac:dyDescent="0.25">
      <c r="A13" s="32">
        <v>45908</v>
      </c>
      <c r="B13" s="3">
        <v>12871</v>
      </c>
      <c r="C13" s="3" t="s">
        <v>124</v>
      </c>
      <c r="D13" s="3" t="s">
        <v>138</v>
      </c>
      <c r="E13" s="19">
        <v>38200</v>
      </c>
      <c r="G13" s="3" t="s">
        <v>126</v>
      </c>
    </row>
    <row r="14" spans="1:8" ht="24" customHeight="1" x14ac:dyDescent="0.25">
      <c r="A14" s="32">
        <v>45909</v>
      </c>
      <c r="B14" s="3">
        <v>12872</v>
      </c>
      <c r="C14" s="3" t="s">
        <v>139</v>
      </c>
      <c r="E14" s="19">
        <v>20000</v>
      </c>
      <c r="G14" s="3" t="s">
        <v>140</v>
      </c>
    </row>
    <row r="15" spans="1:8" ht="24" customHeight="1" x14ac:dyDescent="0.25">
      <c r="A15" s="32">
        <v>45910</v>
      </c>
      <c r="B15" s="3">
        <v>12873</v>
      </c>
      <c r="C15" s="3" t="s">
        <v>144</v>
      </c>
      <c r="E15" s="19">
        <v>8000</v>
      </c>
      <c r="G15" s="3" t="s">
        <v>145</v>
      </c>
    </row>
    <row r="16" spans="1:8" ht="24" customHeight="1" x14ac:dyDescent="0.25">
      <c r="A16" s="32">
        <v>45910</v>
      </c>
      <c r="B16" s="3">
        <v>12874</v>
      </c>
      <c r="C16" s="3" t="s">
        <v>131</v>
      </c>
      <c r="E16" s="19">
        <v>5000</v>
      </c>
      <c r="G16" s="3" t="s">
        <v>130</v>
      </c>
    </row>
    <row r="17" spans="1:8" ht="24" customHeight="1" x14ac:dyDescent="0.25">
      <c r="A17" s="32">
        <v>45910</v>
      </c>
      <c r="B17" s="3">
        <v>12875</v>
      </c>
      <c r="C17" s="3" t="s">
        <v>124</v>
      </c>
      <c r="D17" s="3" t="s">
        <v>132</v>
      </c>
      <c r="E17" s="19">
        <v>18000</v>
      </c>
      <c r="G17" s="3" t="s">
        <v>130</v>
      </c>
    </row>
    <row r="18" spans="1:8" ht="24" customHeight="1" x14ac:dyDescent="0.25">
      <c r="A18" s="32">
        <v>45911</v>
      </c>
      <c r="B18" s="3">
        <v>12876</v>
      </c>
      <c r="C18" s="3" t="s">
        <v>146</v>
      </c>
      <c r="E18" s="19">
        <v>258000</v>
      </c>
      <c r="G18" s="3" t="s">
        <v>147</v>
      </c>
    </row>
    <row r="19" spans="1:8" ht="21.75" customHeight="1" x14ac:dyDescent="0.25">
      <c r="A19" s="32">
        <v>45911</v>
      </c>
      <c r="B19" s="3">
        <v>12877</v>
      </c>
      <c r="C19" s="3" t="s">
        <v>148</v>
      </c>
      <c r="E19" s="19">
        <v>350000</v>
      </c>
      <c r="G19" s="3" t="s">
        <v>149</v>
      </c>
    </row>
    <row r="20" spans="1:8" ht="24" customHeight="1" x14ac:dyDescent="0.25">
      <c r="A20" s="32">
        <v>45911</v>
      </c>
      <c r="B20" s="3">
        <v>12878</v>
      </c>
      <c r="C20" s="3" t="s">
        <v>124</v>
      </c>
      <c r="D20" s="3" t="s">
        <v>133</v>
      </c>
      <c r="E20" s="19">
        <v>65050</v>
      </c>
      <c r="G20" s="3" t="s">
        <v>125</v>
      </c>
    </row>
    <row r="21" spans="1:8" ht="24" customHeight="1" x14ac:dyDescent="0.25">
      <c r="A21" s="32">
        <v>45912</v>
      </c>
      <c r="B21" s="3">
        <v>12879</v>
      </c>
      <c r="C21" s="3" t="s">
        <v>127</v>
      </c>
      <c r="D21" s="3" t="s">
        <v>132</v>
      </c>
      <c r="E21" s="19">
        <v>1000</v>
      </c>
      <c r="G21" s="3" t="s">
        <v>130</v>
      </c>
    </row>
    <row r="22" spans="1:8" ht="30.75" customHeight="1" x14ac:dyDescent="0.25">
      <c r="A22" s="32">
        <v>45916</v>
      </c>
      <c r="B22" s="3">
        <v>12880</v>
      </c>
      <c r="C22" s="3" t="s">
        <v>124</v>
      </c>
      <c r="D22" s="3" t="s">
        <v>132</v>
      </c>
      <c r="E22" s="19">
        <v>68400</v>
      </c>
      <c r="G22" s="3" t="s">
        <v>130</v>
      </c>
    </row>
    <row r="23" spans="1:8" ht="24" customHeight="1" x14ac:dyDescent="0.25">
      <c r="A23" s="32">
        <v>45916</v>
      </c>
      <c r="B23" s="3">
        <v>12881</v>
      </c>
      <c r="C23" s="3" t="s">
        <v>127</v>
      </c>
      <c r="D23" s="3" t="s">
        <v>133</v>
      </c>
      <c r="E23" s="19">
        <v>1000</v>
      </c>
      <c r="G23" s="3" t="s">
        <v>125</v>
      </c>
    </row>
    <row r="24" spans="1:8" ht="24" customHeight="1" x14ac:dyDescent="0.25">
      <c r="A24" s="32">
        <v>45917</v>
      </c>
      <c r="B24" s="3">
        <v>12882</v>
      </c>
      <c r="C24" s="3" t="s">
        <v>124</v>
      </c>
      <c r="D24" s="3" t="s">
        <v>138</v>
      </c>
      <c r="E24" s="19">
        <v>47900</v>
      </c>
      <c r="G24" s="3" t="s">
        <v>126</v>
      </c>
    </row>
    <row r="25" spans="1:8" ht="24" customHeight="1" x14ac:dyDescent="0.25">
      <c r="A25" s="32">
        <v>45917</v>
      </c>
      <c r="B25" s="3">
        <v>12883</v>
      </c>
      <c r="C25" s="3" t="s">
        <v>124</v>
      </c>
      <c r="D25" s="3" t="s">
        <v>138</v>
      </c>
      <c r="E25" s="19">
        <v>38353</v>
      </c>
      <c r="G25" s="3" t="s">
        <v>126</v>
      </c>
    </row>
    <row r="26" spans="1:8" ht="24" customHeight="1" x14ac:dyDescent="0.25">
      <c r="A26" s="32">
        <v>45918</v>
      </c>
      <c r="B26" s="3">
        <v>12884</v>
      </c>
      <c r="C26" s="3" t="s">
        <v>127</v>
      </c>
      <c r="D26" s="3" t="s">
        <v>132</v>
      </c>
      <c r="E26" s="19">
        <v>1000</v>
      </c>
      <c r="G26" s="3" t="s">
        <v>130</v>
      </c>
    </row>
    <row r="27" spans="1:8" ht="28.5" customHeight="1" x14ac:dyDescent="0.25">
      <c r="A27" s="32">
        <v>45918</v>
      </c>
      <c r="B27" s="3">
        <v>12885</v>
      </c>
      <c r="C27" s="3" t="s">
        <v>124</v>
      </c>
      <c r="D27" s="3" t="s">
        <v>133</v>
      </c>
      <c r="E27" s="19">
        <v>65000</v>
      </c>
      <c r="G27" s="3" t="s">
        <v>125</v>
      </c>
    </row>
    <row r="28" spans="1:8" ht="24" customHeight="1" x14ac:dyDescent="0.25">
      <c r="A28" s="32">
        <v>45920</v>
      </c>
      <c r="B28" s="39">
        <v>12886</v>
      </c>
      <c r="C28" s="3" t="s">
        <v>131</v>
      </c>
      <c r="D28" s="39" t="s">
        <v>155</v>
      </c>
      <c r="E28" s="34">
        <v>10000</v>
      </c>
      <c r="F28" s="39"/>
      <c r="G28" s="39" t="s">
        <v>156</v>
      </c>
      <c r="H28" s="39"/>
    </row>
    <row r="29" spans="1:8" ht="24" customHeight="1" x14ac:dyDescent="0.25">
      <c r="A29" s="32">
        <v>45923</v>
      </c>
      <c r="B29" s="39">
        <v>12887</v>
      </c>
      <c r="C29" s="39" t="s">
        <v>157</v>
      </c>
      <c r="D29" s="39"/>
      <c r="E29" s="34">
        <v>6000</v>
      </c>
      <c r="F29" s="39"/>
      <c r="G29" s="39" t="s">
        <v>158</v>
      </c>
      <c r="H29" s="39"/>
    </row>
    <row r="30" spans="1:8" ht="24" customHeight="1" x14ac:dyDescent="0.25">
      <c r="A30" s="32">
        <v>45924</v>
      </c>
      <c r="B30" s="39">
        <v>12888</v>
      </c>
      <c r="C30" s="39" t="s">
        <v>159</v>
      </c>
      <c r="D30" s="39" t="s">
        <v>132</v>
      </c>
      <c r="E30" s="34">
        <v>182500</v>
      </c>
      <c r="F30" s="39"/>
      <c r="G30" s="39" t="s">
        <v>130</v>
      </c>
      <c r="H30" s="39"/>
    </row>
    <row r="31" spans="1:8" ht="24" customHeight="1" x14ac:dyDescent="0.25">
      <c r="A31" s="32">
        <v>45924</v>
      </c>
      <c r="B31" s="39">
        <v>12889</v>
      </c>
      <c r="C31" s="39" t="s">
        <v>131</v>
      </c>
      <c r="D31" s="39" t="s">
        <v>133</v>
      </c>
      <c r="E31" s="34">
        <v>5000</v>
      </c>
      <c r="F31" s="39"/>
      <c r="G31" s="39" t="s">
        <v>125</v>
      </c>
      <c r="H31" s="39"/>
    </row>
    <row r="32" spans="1:8" ht="24" customHeight="1" x14ac:dyDescent="0.25">
      <c r="A32" s="32">
        <v>45924</v>
      </c>
      <c r="B32" s="39">
        <v>12890</v>
      </c>
      <c r="C32" s="39" t="s">
        <v>124</v>
      </c>
      <c r="D32" s="39" t="s">
        <v>132</v>
      </c>
      <c r="E32" s="34">
        <v>53000</v>
      </c>
      <c r="F32" s="39"/>
      <c r="G32" s="39" t="s">
        <v>130</v>
      </c>
      <c r="H32" s="39"/>
    </row>
    <row r="33" spans="1:8" ht="24" customHeight="1" x14ac:dyDescent="0.25">
      <c r="A33" s="32">
        <v>45924</v>
      </c>
      <c r="B33" s="39">
        <v>12891</v>
      </c>
      <c r="C33" s="39" t="s">
        <v>124</v>
      </c>
      <c r="D33" s="39" t="s">
        <v>133</v>
      </c>
      <c r="E33" s="34">
        <v>18500</v>
      </c>
      <c r="F33" s="39"/>
      <c r="G33" s="39" t="s">
        <v>125</v>
      </c>
      <c r="H33" s="39"/>
    </row>
    <row r="34" spans="1:8" ht="24" customHeight="1" x14ac:dyDescent="0.25">
      <c r="A34" s="32">
        <v>45924</v>
      </c>
      <c r="B34" s="39">
        <v>12892</v>
      </c>
      <c r="C34" s="39" t="s">
        <v>160</v>
      </c>
      <c r="D34" s="39"/>
      <c r="E34" s="34">
        <v>10000</v>
      </c>
      <c r="F34" s="39"/>
      <c r="G34" s="39" t="s">
        <v>158</v>
      </c>
      <c r="H34" s="39"/>
    </row>
    <row r="35" spans="1:8" ht="24" customHeight="1" x14ac:dyDescent="0.25">
      <c r="A35" s="32">
        <v>45925</v>
      </c>
      <c r="B35" s="39">
        <v>12893</v>
      </c>
      <c r="C35" s="39" t="s">
        <v>127</v>
      </c>
      <c r="D35" s="39" t="s">
        <v>132</v>
      </c>
      <c r="E35" s="34">
        <v>1000</v>
      </c>
      <c r="F35" s="39"/>
      <c r="G35" s="39" t="s">
        <v>130</v>
      </c>
      <c r="H35" s="39"/>
    </row>
    <row r="36" spans="1:8" ht="24" customHeight="1" x14ac:dyDescent="0.25">
      <c r="A36" s="32">
        <v>45927</v>
      </c>
      <c r="B36" s="39">
        <v>12894</v>
      </c>
      <c r="C36" s="39" t="s">
        <v>127</v>
      </c>
      <c r="D36" s="39" t="s">
        <v>133</v>
      </c>
      <c r="E36" s="34">
        <v>3000</v>
      </c>
      <c r="F36" s="39"/>
      <c r="G36" s="39" t="s">
        <v>125</v>
      </c>
      <c r="H36" s="39"/>
    </row>
    <row r="37" spans="1:8" ht="24" customHeight="1" x14ac:dyDescent="0.25">
      <c r="A37" s="32">
        <v>45927</v>
      </c>
      <c r="B37" s="39">
        <v>12895</v>
      </c>
      <c r="C37" s="39" t="s">
        <v>163</v>
      </c>
      <c r="D37" s="39" t="s">
        <v>133</v>
      </c>
      <c r="E37" s="34">
        <v>30000</v>
      </c>
      <c r="F37" s="39"/>
      <c r="G37" s="39" t="s">
        <v>125</v>
      </c>
      <c r="H37" s="39"/>
    </row>
    <row r="38" spans="1:8" ht="24" customHeight="1" x14ac:dyDescent="0.25">
      <c r="A38" s="32">
        <v>45927</v>
      </c>
      <c r="B38" s="39">
        <v>12896</v>
      </c>
      <c r="C38" s="39" t="s">
        <v>124</v>
      </c>
      <c r="D38" s="39" t="s">
        <v>133</v>
      </c>
      <c r="E38" s="34">
        <v>20000</v>
      </c>
      <c r="F38" s="39"/>
      <c r="G38" s="39" t="s">
        <v>125</v>
      </c>
      <c r="H38" s="39"/>
    </row>
    <row r="39" spans="1:8" ht="24" customHeight="1" x14ac:dyDescent="0.25">
      <c r="A39" s="32">
        <v>45927</v>
      </c>
      <c r="B39" s="39">
        <v>12897</v>
      </c>
      <c r="C39" s="39" t="s">
        <v>127</v>
      </c>
      <c r="D39" s="39" t="s">
        <v>132</v>
      </c>
      <c r="E39" s="34">
        <v>1000</v>
      </c>
      <c r="F39" s="39"/>
      <c r="G39" s="39" t="s">
        <v>130</v>
      </c>
      <c r="H39" s="39"/>
    </row>
    <row r="40" spans="1:8" ht="24" customHeight="1" x14ac:dyDescent="0.25">
      <c r="A40" s="32">
        <v>45929</v>
      </c>
      <c r="B40" s="39">
        <v>12898</v>
      </c>
      <c r="C40" s="39" t="s">
        <v>127</v>
      </c>
      <c r="D40" s="39" t="s">
        <v>132</v>
      </c>
      <c r="E40" s="34">
        <v>1000</v>
      </c>
      <c r="F40" s="39"/>
      <c r="G40" s="39" t="s">
        <v>130</v>
      </c>
      <c r="H40" s="39"/>
    </row>
    <row r="41" spans="1:8" ht="24" customHeight="1" x14ac:dyDescent="0.25">
      <c r="A41" s="32">
        <v>45929</v>
      </c>
      <c r="B41" s="39">
        <v>12899</v>
      </c>
      <c r="C41" s="39" t="s">
        <v>164</v>
      </c>
      <c r="D41" s="39"/>
      <c r="E41" s="34">
        <v>1000</v>
      </c>
      <c r="F41" s="39"/>
      <c r="G41" s="39"/>
      <c r="H41" s="39"/>
    </row>
    <row r="42" spans="1:8" ht="24" customHeight="1" x14ac:dyDescent="0.25">
      <c r="A42" s="32">
        <v>45929</v>
      </c>
      <c r="B42" s="39">
        <v>12901</v>
      </c>
      <c r="C42" s="39" t="s">
        <v>165</v>
      </c>
      <c r="D42" s="39"/>
      <c r="E42" s="34">
        <v>1000</v>
      </c>
      <c r="F42" s="39"/>
      <c r="G42" s="39"/>
      <c r="H42" s="39"/>
    </row>
    <row r="43" spans="1:8" ht="24" customHeight="1" x14ac:dyDescent="0.25">
      <c r="A43" s="32">
        <v>45929</v>
      </c>
      <c r="B43" s="39">
        <v>12902</v>
      </c>
      <c r="C43" s="39" t="s">
        <v>124</v>
      </c>
      <c r="D43" s="39" t="s">
        <v>133</v>
      </c>
      <c r="E43" s="34">
        <v>67500</v>
      </c>
      <c r="F43" s="39"/>
      <c r="G43" s="39" t="s">
        <v>125</v>
      </c>
      <c r="H43" s="39"/>
    </row>
    <row r="44" spans="1:8" ht="24" customHeight="1" x14ac:dyDescent="0.25">
      <c r="A44" s="32">
        <v>45929</v>
      </c>
      <c r="B44" s="39">
        <v>12903</v>
      </c>
      <c r="C44" s="39" t="s">
        <v>124</v>
      </c>
      <c r="D44" s="39" t="s">
        <v>138</v>
      </c>
      <c r="E44" s="34">
        <v>52247</v>
      </c>
      <c r="F44" s="39"/>
      <c r="G44" s="39" t="s">
        <v>126</v>
      </c>
      <c r="H44" s="39"/>
    </row>
    <row r="45" spans="1:8" ht="24" customHeight="1" x14ac:dyDescent="0.25">
      <c r="A45" s="32">
        <v>45930</v>
      </c>
      <c r="B45" s="39">
        <v>12905</v>
      </c>
      <c r="C45" s="39" t="s">
        <v>124</v>
      </c>
      <c r="D45" s="39" t="s">
        <v>132</v>
      </c>
      <c r="E45" s="34">
        <v>69685</v>
      </c>
      <c r="F45" s="39"/>
      <c r="G45" s="39" t="s">
        <v>130</v>
      </c>
      <c r="H45" s="39"/>
    </row>
    <row r="46" spans="1:8" ht="24" customHeight="1" x14ac:dyDescent="0.25">
      <c r="A46" s="32"/>
      <c r="B46" s="39"/>
      <c r="C46" s="39"/>
      <c r="D46" s="39"/>
      <c r="E46" s="34"/>
      <c r="F46" s="39"/>
      <c r="G46" s="39"/>
      <c r="H46" s="39"/>
    </row>
    <row r="47" spans="1:8" ht="24" customHeight="1" x14ac:dyDescent="0.25">
      <c r="A47" s="32"/>
      <c r="B47" s="39"/>
      <c r="C47" s="39"/>
      <c r="D47" s="39"/>
      <c r="E47" s="34"/>
      <c r="F47" s="39"/>
      <c r="G47" s="39"/>
      <c r="H47" s="39"/>
    </row>
    <row r="48" spans="1:8" ht="24" customHeight="1" x14ac:dyDescent="0.25">
      <c r="A48" s="32"/>
      <c r="B48" s="39"/>
      <c r="C48" s="39"/>
      <c r="D48" s="39"/>
      <c r="E48" s="34"/>
      <c r="F48" s="39"/>
      <c r="G48" s="39"/>
      <c r="H48" s="39"/>
    </row>
    <row r="49" spans="1:8" ht="24" customHeight="1" x14ac:dyDescent="0.25">
      <c r="A49" s="32"/>
      <c r="B49" s="39"/>
      <c r="C49" s="39"/>
      <c r="D49" s="39"/>
      <c r="E49" s="34"/>
      <c r="F49" s="39"/>
      <c r="G49" s="39"/>
      <c r="H49" s="39"/>
    </row>
    <row r="50" spans="1:8" ht="24" customHeight="1" x14ac:dyDescent="0.25">
      <c r="A50" s="32"/>
      <c r="B50" s="39"/>
      <c r="C50" s="39"/>
      <c r="D50" s="39"/>
      <c r="E50" s="34"/>
      <c r="F50" s="39"/>
      <c r="G50" s="39"/>
      <c r="H50" s="39"/>
    </row>
    <row r="51" spans="1:8" ht="24" customHeight="1" x14ac:dyDescent="0.25">
      <c r="A51" s="32"/>
      <c r="B51" s="39"/>
      <c r="C51" s="39"/>
      <c r="D51" s="39"/>
      <c r="E51" s="34"/>
      <c r="F51" s="39"/>
      <c r="G51" s="39"/>
      <c r="H51" s="39"/>
    </row>
    <row r="52" spans="1:8" ht="24" customHeight="1" x14ac:dyDescent="0.25">
      <c r="A52" s="32"/>
      <c r="B52" s="39"/>
      <c r="C52" s="39"/>
      <c r="D52" s="39"/>
      <c r="E52" s="34"/>
      <c r="F52" s="39"/>
      <c r="G52" s="39"/>
      <c r="H52" s="39"/>
    </row>
    <row r="53" spans="1:8" ht="24" customHeight="1" x14ac:dyDescent="0.25">
      <c r="A53" s="32"/>
      <c r="B53" s="39"/>
      <c r="C53" s="39"/>
      <c r="D53" s="39"/>
      <c r="E53" s="34"/>
      <c r="F53" s="39"/>
      <c r="G53" s="39"/>
      <c r="H53" s="39"/>
    </row>
    <row r="54" spans="1:8" ht="24" customHeight="1" x14ac:dyDescent="0.25">
      <c r="A54" s="32"/>
      <c r="B54" s="39"/>
      <c r="C54" s="39"/>
      <c r="D54" s="39"/>
      <c r="E54" s="34"/>
      <c r="F54" s="39"/>
      <c r="G54" s="39"/>
      <c r="H54" s="39"/>
    </row>
    <row r="55" spans="1:8" ht="24" customHeight="1" x14ac:dyDescent="0.25">
      <c r="A55" s="32"/>
      <c r="B55" s="39"/>
      <c r="C55" s="39"/>
      <c r="D55" s="39"/>
      <c r="E55" s="34"/>
      <c r="F55" s="39"/>
      <c r="G55" s="39"/>
      <c r="H55" s="39"/>
    </row>
    <row r="56" spans="1:8" ht="24" customHeight="1" x14ac:dyDescent="0.25">
      <c r="A56" s="32"/>
      <c r="B56" s="39"/>
      <c r="C56" s="39"/>
      <c r="D56" s="39"/>
      <c r="E56" s="34"/>
      <c r="F56" s="39"/>
      <c r="G56" s="39"/>
      <c r="H56" s="39"/>
    </row>
    <row r="57" spans="1:8" ht="24" customHeight="1" x14ac:dyDescent="0.25">
      <c r="A57" s="32"/>
      <c r="B57" s="39"/>
      <c r="C57" s="39"/>
      <c r="D57" s="39"/>
      <c r="E57" s="34"/>
      <c r="F57" s="39"/>
      <c r="G57" s="39"/>
      <c r="H57" s="39"/>
    </row>
    <row r="58" spans="1:8" ht="24" customHeight="1" x14ac:dyDescent="0.25">
      <c r="A58" s="32"/>
      <c r="B58" s="39"/>
      <c r="C58" s="39"/>
      <c r="D58" s="39"/>
      <c r="E58" s="34"/>
      <c r="F58" s="39"/>
      <c r="G58" s="39"/>
      <c r="H58" s="39"/>
    </row>
    <row r="59" spans="1:8" ht="24" customHeight="1" x14ac:dyDescent="0.25">
      <c r="A59" s="32"/>
      <c r="B59" s="39"/>
      <c r="C59" s="39"/>
      <c r="D59" s="39"/>
      <c r="E59" s="34"/>
      <c r="F59" s="39"/>
      <c r="G59" s="39"/>
      <c r="H59" s="39"/>
    </row>
    <row r="60" spans="1:8" ht="24" customHeight="1" x14ac:dyDescent="0.25">
      <c r="A60" s="4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G30"/>
  <sheetViews>
    <sheetView topLeftCell="A11" workbookViewId="0">
      <selection sqref="A1:D22"/>
    </sheetView>
  </sheetViews>
  <sheetFormatPr baseColWidth="10" defaultColWidth="16.5703125" defaultRowHeight="25.15" customHeight="1" x14ac:dyDescent="0.25"/>
  <cols>
    <col min="1" max="1" width="16.5703125" style="2"/>
    <col min="2" max="2" width="22.140625" style="2" customWidth="1"/>
    <col min="3" max="3" width="23.140625" style="2" customWidth="1"/>
    <col min="4" max="4" width="23.85546875" style="5" customWidth="1"/>
    <col min="5" max="5" width="26.140625" style="2" customWidth="1"/>
    <col min="6" max="6" width="24.85546875" style="2" customWidth="1"/>
    <col min="7" max="7" width="65.42578125" style="2" customWidth="1"/>
    <col min="8" max="16384" width="16.5703125" style="2"/>
  </cols>
  <sheetData>
    <row r="1" spans="1:7" ht="43.9" customHeight="1" x14ac:dyDescent="0.25">
      <c r="A1" s="28" t="s">
        <v>0</v>
      </c>
      <c r="B1" s="1" t="s">
        <v>22</v>
      </c>
      <c r="C1" s="1" t="s">
        <v>23</v>
      </c>
      <c r="D1" s="6" t="s">
        <v>24</v>
      </c>
      <c r="E1" s="1" t="s">
        <v>25</v>
      </c>
      <c r="F1" s="1" t="s">
        <v>26</v>
      </c>
      <c r="G1" s="1" t="s">
        <v>27</v>
      </c>
    </row>
    <row r="2" spans="1:7" ht="33" customHeight="1" x14ac:dyDescent="0.25">
      <c r="A2" s="32">
        <v>45901</v>
      </c>
      <c r="B2" s="3" t="s">
        <v>112</v>
      </c>
      <c r="C2" s="3">
        <v>3381431</v>
      </c>
      <c r="D2" s="7">
        <v>15340000</v>
      </c>
      <c r="E2" s="3"/>
      <c r="F2" s="3" t="s">
        <v>114</v>
      </c>
      <c r="G2" s="3"/>
    </row>
    <row r="3" spans="1:7" ht="25.15" customHeight="1" x14ac:dyDescent="0.25">
      <c r="A3" s="32">
        <v>45901</v>
      </c>
      <c r="B3" s="3" t="s">
        <v>112</v>
      </c>
      <c r="C3" s="3">
        <v>3103095</v>
      </c>
      <c r="D3" s="7">
        <v>5975000</v>
      </c>
      <c r="E3" s="3"/>
      <c r="F3" s="3"/>
      <c r="G3" s="3"/>
    </row>
    <row r="4" spans="1:7" ht="30.6" customHeight="1" x14ac:dyDescent="0.25">
      <c r="A4" s="32">
        <v>45902</v>
      </c>
      <c r="B4" s="3" t="s">
        <v>112</v>
      </c>
      <c r="C4" s="3">
        <v>3381156</v>
      </c>
      <c r="D4" s="7">
        <v>18752000</v>
      </c>
      <c r="E4" s="3"/>
      <c r="F4" s="3" t="s">
        <v>114</v>
      </c>
      <c r="G4" s="3"/>
    </row>
    <row r="5" spans="1:7" ht="25.15" customHeight="1" x14ac:dyDescent="0.25">
      <c r="A5" s="32">
        <v>45903</v>
      </c>
      <c r="B5" s="3" t="s">
        <v>112</v>
      </c>
      <c r="C5" s="2">
        <v>3646513</v>
      </c>
      <c r="D5" s="5">
        <v>14105000</v>
      </c>
      <c r="E5" s="3"/>
      <c r="F5" s="3" t="s">
        <v>114</v>
      </c>
    </row>
    <row r="6" spans="1:7" ht="25.15" customHeight="1" x14ac:dyDescent="0.25">
      <c r="A6" s="32">
        <v>45905</v>
      </c>
      <c r="B6" s="3" t="s">
        <v>112</v>
      </c>
      <c r="C6" s="2">
        <v>3646514</v>
      </c>
      <c r="D6" s="5">
        <v>10310000</v>
      </c>
      <c r="E6" s="3"/>
      <c r="F6" s="3" t="s">
        <v>114</v>
      </c>
    </row>
    <row r="7" spans="1:7" ht="25.15" customHeight="1" x14ac:dyDescent="0.25">
      <c r="A7" s="32">
        <v>45908</v>
      </c>
      <c r="B7" s="3" t="s">
        <v>112</v>
      </c>
      <c r="C7" s="2">
        <v>4081199</v>
      </c>
      <c r="D7" s="5">
        <v>16710000</v>
      </c>
      <c r="E7" s="3"/>
      <c r="F7" s="2" t="s">
        <v>114</v>
      </c>
    </row>
    <row r="8" spans="1:7" ht="25.15" customHeight="1" x14ac:dyDescent="0.25">
      <c r="A8" s="32">
        <v>45909</v>
      </c>
      <c r="B8" s="3" t="s">
        <v>112</v>
      </c>
      <c r="C8" s="2">
        <v>3883044</v>
      </c>
      <c r="D8" s="5">
        <v>15315000</v>
      </c>
      <c r="E8" s="3"/>
      <c r="F8" s="2" t="s">
        <v>114</v>
      </c>
    </row>
    <row r="9" spans="1:7" ht="25.15" customHeight="1" x14ac:dyDescent="0.25">
      <c r="A9" s="32">
        <v>45910</v>
      </c>
      <c r="B9" s="3" t="s">
        <v>112</v>
      </c>
      <c r="D9" s="5">
        <v>16000000</v>
      </c>
      <c r="E9" s="3"/>
      <c r="F9" s="2" t="s">
        <v>114</v>
      </c>
    </row>
    <row r="10" spans="1:7" ht="25.15" customHeight="1" x14ac:dyDescent="0.25">
      <c r="A10" s="32">
        <v>45910</v>
      </c>
      <c r="B10" s="3" t="s">
        <v>112</v>
      </c>
      <c r="C10" s="2">
        <v>4103356</v>
      </c>
      <c r="D10" s="5">
        <v>40425000</v>
      </c>
      <c r="E10" s="3"/>
      <c r="F10" s="2" t="s">
        <v>114</v>
      </c>
    </row>
    <row r="11" spans="1:7" ht="25.15" customHeight="1" x14ac:dyDescent="0.25">
      <c r="A11" s="32">
        <v>45911</v>
      </c>
      <c r="B11" s="3" t="s">
        <v>112</v>
      </c>
      <c r="C11" s="2">
        <v>3646515</v>
      </c>
      <c r="D11" s="5">
        <v>12250000</v>
      </c>
      <c r="E11" s="3"/>
      <c r="F11" s="2" t="s">
        <v>114</v>
      </c>
    </row>
    <row r="12" spans="1:7" ht="25.15" customHeight="1" x14ac:dyDescent="0.25">
      <c r="A12" s="32">
        <v>45915</v>
      </c>
      <c r="B12" s="3" t="s">
        <v>112</v>
      </c>
      <c r="C12" s="37">
        <v>4042502</v>
      </c>
      <c r="D12" s="38">
        <v>16940000</v>
      </c>
      <c r="E12" s="39"/>
      <c r="F12" s="2" t="s">
        <v>114</v>
      </c>
      <c r="G12" s="37"/>
    </row>
    <row r="13" spans="1:7" ht="25.15" customHeight="1" x14ac:dyDescent="0.25">
      <c r="A13" s="32">
        <v>45915</v>
      </c>
      <c r="B13" s="3" t="s">
        <v>112</v>
      </c>
      <c r="C13" s="37">
        <v>3467002</v>
      </c>
      <c r="D13" s="38">
        <v>5000000</v>
      </c>
      <c r="E13" s="39"/>
      <c r="F13" s="2" t="s">
        <v>151</v>
      </c>
      <c r="G13" s="37"/>
    </row>
    <row r="14" spans="1:7" ht="25.15" customHeight="1" x14ac:dyDescent="0.25">
      <c r="A14" s="32">
        <v>45916</v>
      </c>
      <c r="B14" s="3" t="s">
        <v>112</v>
      </c>
      <c r="C14" s="37"/>
      <c r="D14" s="38">
        <v>6550000</v>
      </c>
      <c r="E14" s="39"/>
      <c r="F14" s="2" t="s">
        <v>114</v>
      </c>
      <c r="G14" s="37"/>
    </row>
    <row r="15" spans="1:7" ht="25.15" customHeight="1" x14ac:dyDescent="0.25">
      <c r="A15" s="32">
        <v>45917</v>
      </c>
      <c r="B15" s="3" t="s">
        <v>112</v>
      </c>
      <c r="C15" s="37">
        <v>4055002</v>
      </c>
      <c r="D15" s="38">
        <v>16750000</v>
      </c>
      <c r="E15" s="39"/>
      <c r="F15" s="2" t="s">
        <v>114</v>
      </c>
      <c r="G15" s="37"/>
    </row>
    <row r="16" spans="1:7" ht="25.15" customHeight="1" x14ac:dyDescent="0.25">
      <c r="A16" s="32">
        <v>45918</v>
      </c>
      <c r="B16" s="39"/>
      <c r="C16" s="37"/>
      <c r="D16" s="38">
        <v>7400000</v>
      </c>
      <c r="E16" s="39"/>
      <c r="F16" s="2" t="s">
        <v>114</v>
      </c>
      <c r="G16" s="37"/>
    </row>
    <row r="17" spans="1:7" ht="25.15" customHeight="1" x14ac:dyDescent="0.25">
      <c r="A17" s="32">
        <v>45922</v>
      </c>
      <c r="B17" s="39"/>
      <c r="C17" s="37"/>
      <c r="D17" s="38">
        <v>20465000</v>
      </c>
      <c r="E17" s="39"/>
      <c r="F17" s="2" t="s">
        <v>114</v>
      </c>
      <c r="G17" s="37"/>
    </row>
    <row r="18" spans="1:7" ht="25.15" customHeight="1" x14ac:dyDescent="0.25">
      <c r="A18" s="32">
        <v>45924</v>
      </c>
      <c r="B18" s="3" t="s">
        <v>112</v>
      </c>
      <c r="C18" s="37">
        <v>4085723</v>
      </c>
      <c r="D18" s="38">
        <v>17525000</v>
      </c>
      <c r="E18" s="39"/>
      <c r="F18" s="2" t="s">
        <v>114</v>
      </c>
      <c r="G18" s="37"/>
    </row>
    <row r="19" spans="1:7" ht="25.15" customHeight="1" x14ac:dyDescent="0.25">
      <c r="A19" s="32">
        <v>45925</v>
      </c>
      <c r="B19" s="3" t="s">
        <v>112</v>
      </c>
      <c r="C19" s="37">
        <v>3467023</v>
      </c>
      <c r="D19" s="38">
        <v>5975000</v>
      </c>
      <c r="E19" s="39"/>
      <c r="F19" s="37" t="s">
        <v>151</v>
      </c>
      <c r="G19" s="37"/>
    </row>
    <row r="20" spans="1:7" ht="25.15" customHeight="1" x14ac:dyDescent="0.25">
      <c r="A20" s="32">
        <v>45927</v>
      </c>
      <c r="B20" s="3" t="s">
        <v>112</v>
      </c>
      <c r="C20" s="37">
        <v>42910280</v>
      </c>
      <c r="D20" s="38">
        <v>30000000</v>
      </c>
      <c r="E20" s="39"/>
      <c r="F20" s="37" t="s">
        <v>114</v>
      </c>
      <c r="G20" s="37"/>
    </row>
    <row r="21" spans="1:7" ht="25.15" customHeight="1" x14ac:dyDescent="0.25">
      <c r="A21" s="32">
        <v>45929</v>
      </c>
      <c r="B21" s="3" t="s">
        <v>112</v>
      </c>
      <c r="C21" s="37">
        <v>3885990</v>
      </c>
      <c r="D21" s="38">
        <v>30480000</v>
      </c>
      <c r="E21" s="39"/>
      <c r="F21" s="37" t="s">
        <v>114</v>
      </c>
      <c r="G21" s="37"/>
    </row>
    <row r="22" spans="1:7" ht="25.15" customHeight="1" x14ac:dyDescent="0.25">
      <c r="A22" s="32">
        <v>45930</v>
      </c>
      <c r="B22" s="3" t="s">
        <v>112</v>
      </c>
      <c r="C22" s="37">
        <v>42910675</v>
      </c>
      <c r="D22" s="38">
        <v>33000000</v>
      </c>
      <c r="E22" s="39"/>
      <c r="F22" s="37" t="s">
        <v>114</v>
      </c>
      <c r="G22" s="37"/>
    </row>
    <row r="23" spans="1:7" ht="25.15" customHeight="1" x14ac:dyDescent="0.25">
      <c r="A23" s="32"/>
      <c r="B23" s="3"/>
      <c r="C23" s="37"/>
      <c r="D23" s="38"/>
      <c r="E23" s="39"/>
      <c r="F23" s="37"/>
      <c r="G23" s="37"/>
    </row>
    <row r="24" spans="1:7" ht="25.15" customHeight="1" x14ac:dyDescent="0.25">
      <c r="A24" s="32"/>
      <c r="B24" s="3"/>
      <c r="C24" s="37"/>
      <c r="D24" s="38"/>
      <c r="E24" s="39"/>
      <c r="F24" s="37"/>
      <c r="G24" s="37"/>
    </row>
    <row r="25" spans="1:7" ht="25.15" customHeight="1" x14ac:dyDescent="0.25">
      <c r="A25" s="32"/>
      <c r="B25" s="3"/>
      <c r="C25" s="37"/>
      <c r="D25" s="38"/>
      <c r="E25" s="39"/>
      <c r="F25" s="37"/>
      <c r="G25" s="37"/>
    </row>
    <row r="26" spans="1:7" ht="25.15" customHeight="1" x14ac:dyDescent="0.25">
      <c r="A26" s="36"/>
      <c r="B26" s="3"/>
      <c r="C26" s="37"/>
      <c r="D26" s="38"/>
      <c r="E26" s="39"/>
      <c r="F26" s="37"/>
      <c r="G26" s="37"/>
    </row>
    <row r="27" spans="1:7" ht="25.15" customHeight="1" x14ac:dyDescent="0.25">
      <c r="A27" s="36"/>
      <c r="B27" s="3"/>
      <c r="C27" s="37"/>
      <c r="D27" s="38"/>
      <c r="E27" s="39"/>
      <c r="F27" s="37"/>
      <c r="G27" s="37"/>
    </row>
    <row r="28" spans="1:7" ht="25.15" customHeight="1" x14ac:dyDescent="0.25">
      <c r="A28" s="4"/>
    </row>
    <row r="29" spans="1:7" ht="25.15" customHeight="1" x14ac:dyDescent="0.25">
      <c r="A29" s="4"/>
    </row>
    <row r="30" spans="1:7" ht="25.15" customHeight="1" x14ac:dyDescent="0.25">
      <c r="A30" s="4"/>
    </row>
  </sheetData>
  <pageMargins left="0.75" right="0.75" top="1" bottom="1" header="0.5" footer="0.5"/>
  <pageSetup paperSize="9" scale="42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Feuil1!$C$21:$C$22</xm:f>
          </x14:formula1>
          <xm:sqref>B2:B27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9"/>
  <sheetViews>
    <sheetView tabSelected="1" workbookViewId="0">
      <selection activeCell="B10" sqref="B10"/>
    </sheetView>
  </sheetViews>
  <sheetFormatPr baseColWidth="10" defaultColWidth="48.28515625" defaultRowHeight="15.75" x14ac:dyDescent="0.25"/>
  <cols>
    <col min="1" max="1" width="48.28515625" style="3"/>
    <col min="2" max="2" width="48.28515625" style="17"/>
    <col min="3" max="16384" width="48.28515625" style="3"/>
  </cols>
  <sheetData>
    <row r="1" spans="1:4" s="11" customFormat="1" ht="35.450000000000003" customHeight="1" x14ac:dyDescent="0.25">
      <c r="A1" s="43" t="s">
        <v>28</v>
      </c>
      <c r="B1" s="44" t="s">
        <v>33</v>
      </c>
      <c r="C1" s="42" t="s">
        <v>34</v>
      </c>
      <c r="D1" s="11" t="s">
        <v>35</v>
      </c>
    </row>
    <row r="2" spans="1:4" x14ac:dyDescent="0.25">
      <c r="A2" s="14"/>
      <c r="B2" s="45"/>
      <c r="C2" s="14"/>
    </row>
    <row r="3" spans="1:4" ht="39.6" customHeight="1" x14ac:dyDescent="0.25">
      <c r="A3" s="43" t="s">
        <v>29</v>
      </c>
      <c r="B3" s="44">
        <f>SUM(VENTES!G2:G1218)</f>
        <v>379219900</v>
      </c>
      <c r="C3" s="14"/>
    </row>
    <row r="4" spans="1:4" ht="40.15" customHeight="1" x14ac:dyDescent="0.25">
      <c r="A4" s="43" t="s">
        <v>30</v>
      </c>
      <c r="B4" s="44">
        <f>SUM(DÉPENSES!E2:E1032)</f>
        <v>1973485</v>
      </c>
      <c r="C4" s="46">
        <v>45901</v>
      </c>
    </row>
    <row r="5" spans="1:4" ht="34.9" customHeight="1" x14ac:dyDescent="0.25">
      <c r="A5" s="43" t="s">
        <v>31</v>
      </c>
      <c r="B5" s="44">
        <f>B3-B4</f>
        <v>377246415</v>
      </c>
      <c r="C5" s="14"/>
    </row>
    <row r="6" spans="1:4" ht="34.9" customHeight="1" x14ac:dyDescent="0.25">
      <c r="A6" s="43" t="s">
        <v>32</v>
      </c>
      <c r="B6" s="44">
        <f>SUM(VERSEMENT!D2:D1035)</f>
        <v>355267000</v>
      </c>
      <c r="C6" s="14"/>
    </row>
    <row r="7" spans="1:4" ht="20.25" x14ac:dyDescent="0.25">
      <c r="B7" s="10"/>
    </row>
    <row r="9" spans="1:4" x14ac:dyDescent="0.25">
      <c r="B9" s="17">
        <f>SUM(B5-B6)</f>
        <v>21979415</v>
      </c>
    </row>
  </sheetData>
  <pageMargins left="0.75" right="0.75" top="1" bottom="1" header="0.5" footer="0.5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3" workbookViewId="0">
      <selection activeCell="G41" sqref="G41"/>
    </sheetView>
  </sheetViews>
  <sheetFormatPr baseColWidth="10" defaultRowHeight="15" x14ac:dyDescent="0.25"/>
  <cols>
    <col min="1" max="1" width="11.42578125" style="23"/>
    <col min="2" max="2" width="32.5703125" style="21" customWidth="1"/>
    <col min="3" max="3" width="11.42578125" style="22"/>
    <col min="4" max="16384" width="11.42578125" style="23"/>
  </cols>
  <sheetData>
    <row r="1" spans="1:5" ht="30" x14ac:dyDescent="0.4">
      <c r="A1" s="20" t="s">
        <v>45</v>
      </c>
    </row>
    <row r="2" spans="1:5" x14ac:dyDescent="0.25">
      <c r="A2" s="23" t="s">
        <v>46</v>
      </c>
    </row>
    <row r="5" spans="1:5" ht="18.75" x14ac:dyDescent="0.3">
      <c r="A5" s="24" t="s">
        <v>47</v>
      </c>
    </row>
    <row r="6" spans="1:5" x14ac:dyDescent="0.25">
      <c r="A6" s="23" t="e">
        <f t="array" aca="1" ref="A6" ca="1">_xlfn._xlws.PY(0,1,SYNTHÈSE!A1:D6)</f>
        <v>#NAME?</v>
      </c>
    </row>
    <row r="8" spans="1:5" ht="15.75" x14ac:dyDescent="0.25">
      <c r="A8" s="25" t="s">
        <v>48</v>
      </c>
    </row>
    <row r="9" spans="1:5" x14ac:dyDescent="0.25">
      <c r="A9" s="23" t="e">
        <f t="array" aca="1" ref="A9:E14" ca="1">IFERROR(_FV(A6,"arrayPreview"),_xlfn._DF_Python_str(A6))</f>
        <v>#NAME?</v>
      </c>
      <c r="B9" s="21" t="e">
        <f ca="1"/>
        <v>#NAME?</v>
      </c>
      <c r="C9" s="22" t="e">
        <f ca="1"/>
        <v>#NAME?</v>
      </c>
      <c r="D9" s="23" t="e">
        <f ca="1"/>
        <v>#NAME?</v>
      </c>
      <c r="E9" s="23" t="e">
        <f ca="1"/>
        <v>#NAME?</v>
      </c>
    </row>
    <row r="10" spans="1:5" x14ac:dyDescent="0.25">
      <c r="A10" s="23" t="e">
        <f ca="1"/>
        <v>#NAME?</v>
      </c>
      <c r="B10" s="21" t="e">
        <f ca="1"/>
        <v>#NAME?</v>
      </c>
      <c r="C10" s="22" t="e">
        <f ca="1"/>
        <v>#NAME?</v>
      </c>
      <c r="D10" s="23" t="e">
        <f ca="1"/>
        <v>#NAME?</v>
      </c>
      <c r="E10" s="23" t="e">
        <f ca="1"/>
        <v>#NAME?</v>
      </c>
    </row>
    <row r="11" spans="1:5" x14ac:dyDescent="0.25">
      <c r="A11" s="23" t="e">
        <f ca="1"/>
        <v>#NAME?</v>
      </c>
      <c r="B11" s="21" t="e">
        <f ca="1"/>
        <v>#NAME?</v>
      </c>
      <c r="C11" s="22" t="e">
        <f ca="1"/>
        <v>#NAME?</v>
      </c>
      <c r="D11" s="23" t="e">
        <f ca="1"/>
        <v>#NAME?</v>
      </c>
      <c r="E11" s="23" t="e">
        <f ca="1"/>
        <v>#NAME?</v>
      </c>
    </row>
    <row r="12" spans="1:5" x14ac:dyDescent="0.25">
      <c r="A12" s="23" t="e">
        <f ca="1"/>
        <v>#NAME?</v>
      </c>
      <c r="B12" s="21" t="e">
        <f ca="1"/>
        <v>#NAME?</v>
      </c>
      <c r="C12" s="22" t="e">
        <f ca="1"/>
        <v>#NAME?</v>
      </c>
      <c r="D12" s="23" t="e">
        <f ca="1"/>
        <v>#NAME?</v>
      </c>
      <c r="E12" s="23" t="e">
        <f ca="1"/>
        <v>#NAME?</v>
      </c>
    </row>
    <row r="13" spans="1:5" x14ac:dyDescent="0.25">
      <c r="A13" s="23" t="e">
        <f ca="1"/>
        <v>#NAME?</v>
      </c>
      <c r="B13" s="21" t="e">
        <f ca="1"/>
        <v>#NAME?</v>
      </c>
      <c r="C13" s="22" t="e">
        <f ca="1"/>
        <v>#NAME?</v>
      </c>
      <c r="D13" s="23" t="e">
        <f ca="1"/>
        <v>#NAME?</v>
      </c>
      <c r="E13" s="23" t="e">
        <f ca="1"/>
        <v>#NAME?</v>
      </c>
    </row>
    <row r="14" spans="1:5" x14ac:dyDescent="0.25">
      <c r="A14" s="23" t="e">
        <f ca="1"/>
        <v>#NAME?</v>
      </c>
      <c r="B14" s="21" t="e">
        <f ca="1"/>
        <v>#NAME?</v>
      </c>
      <c r="C14" s="22" t="e">
        <f ca="1"/>
        <v>#NAME?</v>
      </c>
      <c r="D14" s="23" t="e">
        <f ca="1"/>
        <v>#NAME?</v>
      </c>
      <c r="E14" s="23" t="e">
        <f ca="1"/>
        <v>#NAME?</v>
      </c>
    </row>
    <row r="17" spans="1:3" ht="18.75" x14ac:dyDescent="0.3">
      <c r="A17" s="24" t="s">
        <v>50</v>
      </c>
    </row>
    <row r="18" spans="1:3" x14ac:dyDescent="0.25">
      <c r="A18" s="23" t="e">
        <f t="array" aca="1" ref="A18" ca="1">_xlfn._xlws.PY(1,1)</f>
        <v>#NAME?</v>
      </c>
    </row>
    <row r="21" spans="1:3" ht="18.75" x14ac:dyDescent="0.3">
      <c r="A21" s="24" t="s">
        <v>49</v>
      </c>
    </row>
    <row r="22" spans="1:3" x14ac:dyDescent="0.25">
      <c r="A22" s="23" t="e">
        <f t="array" aca="1" ref="A22" ca="1">_xlfn._xlws.PY(2,1)</f>
        <v>#NAME?</v>
      </c>
    </row>
    <row r="24" spans="1:3" ht="15.75" x14ac:dyDescent="0.25">
      <c r="A24" s="25" t="s">
        <v>48</v>
      </c>
    </row>
    <row r="25" spans="1:3" x14ac:dyDescent="0.25">
      <c r="A25" s="23" t="e">
        <f t="array" aca="1" ref="A25:C28" ca="1">IFERROR(_FV(A22,"arrayPreview"),_xlfn._DF_Python_str(A22))</f>
        <v>#NAME?</v>
      </c>
      <c r="B25" s="26" t="e">
        <f ca="1"/>
        <v>#NAME?</v>
      </c>
      <c r="C25" s="22" t="e">
        <f ca="1"/>
        <v>#NAME?</v>
      </c>
    </row>
    <row r="26" spans="1:3" x14ac:dyDescent="0.25">
      <c r="A26" s="23" t="e">
        <f ca="1"/>
        <v>#NAME?</v>
      </c>
      <c r="B26" s="21" t="e">
        <f ca="1"/>
        <v>#NAME?</v>
      </c>
      <c r="C26" s="22" t="e">
        <f ca="1"/>
        <v>#NAME?</v>
      </c>
    </row>
    <row r="27" spans="1:3" x14ac:dyDescent="0.25">
      <c r="A27" s="23" t="e">
        <f ca="1"/>
        <v>#NAME?</v>
      </c>
      <c r="B27" s="21" t="e">
        <f ca="1"/>
        <v>#NAME?</v>
      </c>
      <c r="C27" s="22" t="e">
        <f ca="1"/>
        <v>#NAME?</v>
      </c>
    </row>
    <row r="28" spans="1:3" x14ac:dyDescent="0.25">
      <c r="A28" s="23" t="e">
        <f ca="1"/>
        <v>#NAME?</v>
      </c>
      <c r="B28" s="21" t="e">
        <f ca="1"/>
        <v>#NAME?</v>
      </c>
      <c r="C28" s="27" t="e">
        <f ca="1"/>
        <v>#NAME?</v>
      </c>
    </row>
    <row r="31" spans="1:3" ht="18.75" x14ac:dyDescent="0.3">
      <c r="A31" s="24" t="s">
        <v>51</v>
      </c>
    </row>
    <row r="32" spans="1:3" x14ac:dyDescent="0.25">
      <c r="A32" s="23" t="e">
        <f t="array" aca="1" ref="A32" ca="1">_xlfn._xlws.PY(3,1)</f>
        <v>#NAME?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VENTES</vt:lpstr>
      <vt:lpstr>Feuil2</vt:lpstr>
      <vt:lpstr>Feuil1</vt:lpstr>
      <vt:lpstr>STOCKS</vt:lpstr>
      <vt:lpstr>DÉPENSES</vt:lpstr>
      <vt:lpstr>VERSEMENT</vt:lpstr>
      <vt:lpstr>SYNTHÈSE</vt:lpstr>
      <vt:lpstr>Analyse1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HACC</cp:lastModifiedBy>
  <cp:lastPrinted>2026-01-03T07:00:11Z</cp:lastPrinted>
  <dcterms:created xsi:type="dcterms:W3CDTF">2025-09-01T20:55:46Z</dcterms:created>
  <dcterms:modified xsi:type="dcterms:W3CDTF">2026-01-03T09:23:10Z</dcterms:modified>
</cp:coreProperties>
</file>